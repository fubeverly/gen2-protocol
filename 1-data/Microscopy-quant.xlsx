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NatProt gen2/Github/gen2-protocol/1-data/"/>
    </mc:Choice>
  </mc:AlternateContent>
  <xr:revisionPtr revIDLastSave="0" documentId="13_ncr:1_{D76E6DC6-00E4-984C-931C-438989FECB5C}" xr6:coauthVersionLast="47" xr6:coauthVersionMax="47" xr10:uidLastSave="{00000000-0000-0000-0000-000000000000}"/>
  <bookViews>
    <workbookView xWindow="1500" yWindow="1400" windowWidth="27640" windowHeight="16680" xr2:uid="{820EBDCE-1534-884C-8308-E6382F3BF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1" l="1"/>
  <c r="T13" i="1"/>
  <c r="T15" i="1"/>
  <c r="T24" i="1"/>
  <c r="T25" i="1"/>
  <c r="T32" i="1"/>
  <c r="T28" i="1"/>
  <c r="T31" i="1"/>
  <c r="T30" i="1"/>
  <c r="T35" i="1"/>
  <c r="T37" i="1"/>
  <c r="T27" i="1"/>
  <c r="T29" i="1"/>
  <c r="T26" i="1"/>
  <c r="T36" i="1"/>
  <c r="T34" i="1"/>
  <c r="T33" i="1"/>
  <c r="T46" i="1"/>
  <c r="T42" i="1"/>
  <c r="T43" i="1"/>
  <c r="T38" i="1"/>
  <c r="T45" i="1"/>
  <c r="T44" i="1"/>
  <c r="T49" i="1"/>
  <c r="T47" i="1"/>
  <c r="T50" i="1"/>
  <c r="T40" i="1"/>
  <c r="T51" i="1"/>
  <c r="T48" i="1"/>
  <c r="T39" i="1"/>
  <c r="T41" i="1"/>
  <c r="T54" i="1"/>
  <c r="T60" i="1"/>
  <c r="T59" i="1"/>
  <c r="T68" i="1"/>
  <c r="T63" i="1"/>
  <c r="T79" i="1"/>
  <c r="T65" i="1"/>
  <c r="T85" i="1"/>
  <c r="T76" i="1"/>
  <c r="T86" i="1"/>
  <c r="T82" i="1"/>
  <c r="T89" i="1"/>
  <c r="T91" i="1"/>
  <c r="T75" i="1"/>
  <c r="T83" i="1"/>
  <c r="T93" i="1"/>
  <c r="T77" i="1"/>
  <c r="T92" i="1"/>
  <c r="T95" i="1"/>
  <c r="T88" i="1"/>
  <c r="T64" i="1"/>
  <c r="T87" i="1"/>
  <c r="T66" i="1"/>
  <c r="T94" i="1"/>
  <c r="T67" i="1"/>
  <c r="T81" i="1"/>
  <c r="T71" i="1"/>
  <c r="T73" i="1"/>
  <c r="T72" i="1"/>
  <c r="T80" i="1"/>
  <c r="T74" i="1"/>
  <c r="T70" i="1"/>
  <c r="T69" i="1"/>
  <c r="T84" i="1"/>
  <c r="T90" i="1"/>
  <c r="T78" i="1"/>
  <c r="U55" i="1"/>
  <c r="U56" i="1"/>
  <c r="U52" i="1"/>
  <c r="U53" i="1"/>
  <c r="U16" i="1"/>
  <c r="U17" i="1"/>
  <c r="U57" i="1"/>
  <c r="U18" i="1"/>
  <c r="U58" i="1"/>
  <c r="U19" i="1"/>
  <c r="U2" i="1"/>
  <c r="U3" i="1"/>
  <c r="U4" i="1"/>
  <c r="U5" i="1"/>
  <c r="U6" i="1"/>
  <c r="U7" i="1"/>
  <c r="U8" i="1"/>
  <c r="U20" i="1"/>
  <c r="U21" i="1"/>
  <c r="U22" i="1"/>
  <c r="U9" i="1"/>
  <c r="U10" i="1"/>
  <c r="U23" i="1"/>
  <c r="U11" i="1"/>
  <c r="U12" i="1"/>
  <c r="T55" i="1"/>
  <c r="T56" i="1"/>
  <c r="T52" i="1"/>
  <c r="T53" i="1"/>
  <c r="T16" i="1"/>
  <c r="T17" i="1"/>
  <c r="T57" i="1"/>
  <c r="T18" i="1"/>
  <c r="T58" i="1"/>
  <c r="T19" i="1"/>
  <c r="T2" i="1"/>
  <c r="T3" i="1"/>
  <c r="T4" i="1"/>
  <c r="T5" i="1"/>
  <c r="T6" i="1"/>
  <c r="T7" i="1"/>
  <c r="T20" i="1"/>
  <c r="T21" i="1"/>
  <c r="T22" i="1"/>
  <c r="T9" i="1"/>
  <c r="T10" i="1"/>
  <c r="T23" i="1"/>
  <c r="T11" i="1"/>
  <c r="T12" i="1"/>
  <c r="O78" i="1"/>
  <c r="G78" i="1"/>
  <c r="O90" i="1"/>
  <c r="G90" i="1"/>
  <c r="O84" i="1"/>
  <c r="G84" i="1"/>
  <c r="O69" i="1"/>
  <c r="G69" i="1"/>
  <c r="O70" i="1"/>
  <c r="G70" i="1"/>
  <c r="O74" i="1"/>
  <c r="G74" i="1"/>
  <c r="O80" i="1"/>
  <c r="G80" i="1"/>
  <c r="O72" i="1"/>
  <c r="G72" i="1"/>
  <c r="O73" i="1"/>
  <c r="G73" i="1"/>
  <c r="O71" i="1"/>
  <c r="G71" i="1"/>
  <c r="O81" i="1"/>
  <c r="G81" i="1"/>
  <c r="O67" i="1"/>
  <c r="G67" i="1"/>
  <c r="O94" i="1"/>
  <c r="G94" i="1"/>
  <c r="O98" i="1"/>
  <c r="G98" i="1"/>
  <c r="O97" i="1"/>
  <c r="G97" i="1"/>
  <c r="O66" i="1"/>
  <c r="G66" i="1"/>
  <c r="O96" i="1"/>
  <c r="G96" i="1"/>
  <c r="O87" i="1"/>
  <c r="G87" i="1"/>
  <c r="O64" i="1"/>
  <c r="G64" i="1"/>
  <c r="O88" i="1"/>
  <c r="G88" i="1"/>
  <c r="O95" i="1"/>
  <c r="G95" i="1"/>
  <c r="O92" i="1"/>
  <c r="G92" i="1"/>
  <c r="O77" i="1"/>
  <c r="G77" i="1"/>
  <c r="O93" i="1"/>
  <c r="G93" i="1"/>
  <c r="O83" i="1"/>
  <c r="G83" i="1"/>
  <c r="O75" i="1"/>
  <c r="G75" i="1"/>
  <c r="O91" i="1"/>
  <c r="G91" i="1"/>
  <c r="O89" i="1"/>
  <c r="G89" i="1"/>
  <c r="O82" i="1"/>
  <c r="G82" i="1"/>
  <c r="O86" i="1"/>
  <c r="G86" i="1"/>
  <c r="O76" i="1"/>
  <c r="G76" i="1"/>
  <c r="O85" i="1"/>
  <c r="G85" i="1"/>
  <c r="O65" i="1"/>
  <c r="G65" i="1"/>
  <c r="O79" i="1"/>
  <c r="E79" i="1"/>
  <c r="G79" i="1" s="1"/>
  <c r="O63" i="1"/>
  <c r="G63" i="1"/>
  <c r="O68" i="1"/>
  <c r="G68" i="1"/>
  <c r="O57" i="1"/>
  <c r="G57" i="1"/>
  <c r="O62" i="1"/>
  <c r="G62" i="1"/>
  <c r="O59" i="1"/>
  <c r="G59" i="1"/>
  <c r="O56" i="1"/>
  <c r="G56" i="1"/>
  <c r="O55" i="1"/>
  <c r="G55" i="1"/>
  <c r="O61" i="1"/>
  <c r="G61" i="1"/>
  <c r="O58" i="1"/>
  <c r="G58" i="1"/>
  <c r="O60" i="1"/>
  <c r="G60" i="1"/>
  <c r="O53" i="1"/>
  <c r="G53" i="1"/>
  <c r="O54" i="1"/>
  <c r="G54" i="1"/>
  <c r="O52" i="1"/>
  <c r="G52" i="1"/>
  <c r="E41" i="1"/>
  <c r="G41" i="1" s="1"/>
  <c r="G39" i="1"/>
  <c r="E39" i="1"/>
  <c r="E21" i="1"/>
  <c r="G21" i="1" s="1"/>
  <c r="E23" i="1"/>
  <c r="G23" i="1" s="1"/>
  <c r="E22" i="1"/>
  <c r="G22" i="1" s="1"/>
  <c r="E20" i="1"/>
  <c r="G20" i="1" s="1"/>
  <c r="E48" i="1"/>
  <c r="G48" i="1" s="1"/>
  <c r="E51" i="1"/>
  <c r="G51" i="1" s="1"/>
  <c r="E40" i="1"/>
  <c r="G40" i="1" s="1"/>
  <c r="E50" i="1"/>
  <c r="G50" i="1" s="1"/>
  <c r="E47" i="1"/>
  <c r="G47" i="1" s="1"/>
  <c r="E49" i="1"/>
  <c r="G49" i="1" s="1"/>
  <c r="E44" i="1"/>
  <c r="G44" i="1" s="1"/>
  <c r="E45" i="1"/>
  <c r="G45" i="1" s="1"/>
  <c r="E38" i="1"/>
  <c r="G38" i="1" s="1"/>
  <c r="E43" i="1"/>
  <c r="G43" i="1" s="1"/>
  <c r="E42" i="1"/>
  <c r="G42" i="1" s="1"/>
  <c r="E46" i="1"/>
  <c r="G46" i="1" s="1"/>
  <c r="G33" i="1"/>
  <c r="G34" i="1"/>
  <c r="G19" i="1"/>
  <c r="G18" i="1"/>
  <c r="G17" i="1"/>
  <c r="G16" i="1"/>
  <c r="G36" i="1"/>
  <c r="G26" i="1"/>
  <c r="G29" i="1"/>
  <c r="G27" i="1"/>
  <c r="G37" i="1"/>
  <c r="G35" i="1"/>
  <c r="G30" i="1"/>
  <c r="G31" i="1"/>
  <c r="G28" i="1"/>
  <c r="G32" i="1"/>
  <c r="G25" i="1"/>
  <c r="G24" i="1"/>
  <c r="O15" i="1"/>
  <c r="E15" i="1"/>
  <c r="G15" i="1" s="1"/>
  <c r="O11" i="1"/>
  <c r="E11" i="1"/>
  <c r="G11" i="1" s="1"/>
  <c r="O12" i="1"/>
  <c r="E12" i="1"/>
  <c r="G12" i="1" s="1"/>
  <c r="O4" i="1"/>
  <c r="G4" i="1"/>
  <c r="O8" i="1"/>
  <c r="G8" i="1"/>
  <c r="O5" i="1"/>
  <c r="G5" i="1"/>
  <c r="O6" i="1"/>
  <c r="G6" i="1"/>
  <c r="O13" i="1"/>
  <c r="G13" i="1"/>
  <c r="O2" i="1"/>
  <c r="G2" i="1"/>
  <c r="O3" i="1"/>
  <c r="G3" i="1"/>
  <c r="O14" i="1"/>
  <c r="E14" i="1"/>
  <c r="G14" i="1" s="1"/>
  <c r="O9" i="1"/>
  <c r="G9" i="1"/>
  <c r="O7" i="1"/>
  <c r="E7" i="1"/>
  <c r="G7" i="1" s="1"/>
  <c r="O10" i="1"/>
  <c r="E10" i="1"/>
  <c r="G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66B9D363-AE50-0344-B2A1-8AD466724AE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ID#AAAAhA2wUBc
</t>
        </r>
        <r>
          <rPr>
            <sz val="11"/>
            <color rgb="FF000000"/>
            <rFont val="Calibri"/>
            <family val="2"/>
          </rPr>
          <t xml:space="preserve">Dari Shalon    (2022-11-09 19:00:43)
</t>
        </r>
        <r>
          <rPr>
            <sz val="11"/>
            <color rgb="FF000000"/>
            <rFont val="Calibri"/>
            <family val="2"/>
          </rPr>
          <t xml:space="preserve">Putative pending sequencing. 
</t>
        </r>
        <r>
          <rPr>
            <sz val="11"/>
            <color rgb="FF000000"/>
            <rFont val="Calibri"/>
            <family val="2"/>
          </rPr>
          <t xml:space="preserve">Proximal: first half small intestine. 
</t>
        </r>
        <r>
          <rPr>
            <sz val="11"/>
            <color rgb="FF000000"/>
            <rFont val="Calibri"/>
            <family val="2"/>
          </rPr>
          <t xml:space="preserve">Distal: second half of small intestine inlcuidng ascending colon
</t>
        </r>
        <r>
          <rPr>
            <sz val="11"/>
            <color rgb="FF000000"/>
            <rFont val="Calibri"/>
            <family val="2"/>
          </rPr>
          <t>Colon: semi-formed stool</t>
        </r>
      </text>
    </comment>
    <comment ref="D1" authorId="0" shapeId="0" xr:uid="{DEE8727A-37A9-334B-881A-BE8E0A5CA2B8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ID#AAAAhA2wUBg
</t>
        </r>
        <r>
          <rPr>
            <sz val="11"/>
            <color rgb="FF000000"/>
            <rFont val="Calibri"/>
            <family val="2"/>
          </rPr>
          <t xml:space="preserve">Dari Shalon    (2022-11-09 19:00:43)
</t>
        </r>
        <r>
          <rPr>
            <sz val="11"/>
            <color rgb="FF000000"/>
            <rFont val="Calibri"/>
            <family val="2"/>
          </rPr>
          <t>NM = not measured</t>
        </r>
      </text>
    </comment>
  </commentList>
</comments>
</file>

<file path=xl/sharedStrings.xml><?xml version="1.0" encoding="utf-8"?>
<sst xmlns="http://schemas.openxmlformats.org/spreadsheetml/2006/main" count="506" uniqueCount="65">
  <si>
    <t>pH</t>
  </si>
  <si>
    <t>Total dilution factor*</t>
  </si>
  <si>
    <t>Subject</t>
  </si>
  <si>
    <t>Notes</t>
  </si>
  <si>
    <t>CapScan</t>
  </si>
  <si>
    <t>96C7F</t>
  </si>
  <si>
    <t>1:1 PBS 
dilution</t>
  </si>
  <si>
    <t>5130F</t>
  </si>
  <si>
    <t>NM</t>
  </si>
  <si>
    <t>DC3BF</t>
  </si>
  <si>
    <t>1DA9F</t>
  </si>
  <si>
    <t>478CF</t>
  </si>
  <si>
    <t>852DF</t>
  </si>
  <si>
    <t>A68CF</t>
  </si>
  <si>
    <t>D56CF</t>
  </si>
  <si>
    <t>71F0F</t>
  </si>
  <si>
    <t>122DF</t>
  </si>
  <si>
    <t>2E2FF</t>
  </si>
  <si>
    <t>D9EFF</t>
  </si>
  <si>
    <t>B62FF</t>
  </si>
  <si>
    <t>C068F</t>
  </si>
  <si>
    <t>na</t>
  </si>
  <si>
    <t>018EF</t>
  </si>
  <si>
    <t>D0A4F</t>
  </si>
  <si>
    <t>528DF</t>
  </si>
  <si>
    <t>09A6F</t>
  </si>
  <si>
    <t>F687F</t>
  </si>
  <si>
    <t>DDA4F</t>
  </si>
  <si>
    <t>nd</t>
  </si>
  <si>
    <t>A5C5F</t>
  </si>
  <si>
    <t>TBD</t>
  </si>
  <si>
    <t>1E41F</t>
  </si>
  <si>
    <t>BEC5F</t>
  </si>
  <si>
    <t>948CF</t>
  </si>
  <si>
    <t>763BF</t>
  </si>
  <si>
    <t>C3A7F</t>
  </si>
  <si>
    <t>2B3BF</t>
  </si>
  <si>
    <t>DE3BF</t>
  </si>
  <si>
    <t>8A57F</t>
  </si>
  <si>
    <t>C5A5F</t>
  </si>
  <si>
    <t>268BF</t>
  </si>
  <si>
    <t>A5A6F</t>
  </si>
  <si>
    <t>CF54F</t>
  </si>
  <si>
    <t>Sample_no</t>
  </si>
  <si>
    <t>Sample_origin</t>
  </si>
  <si>
    <t>Prediction</t>
  </si>
  <si>
    <t>Aliquot_dilution_factor</t>
  </si>
  <si>
    <t>Prep_dilution_factor</t>
  </si>
  <si>
    <t>Date_sampled</t>
  </si>
  <si>
    <t>Time_sampled</t>
  </si>
  <si>
    <t>Date_retrieved</t>
  </si>
  <si>
    <t>Time_retrieved</t>
  </si>
  <si>
    <t>Cap_ID</t>
  </si>
  <si>
    <t>Cap_type</t>
  </si>
  <si>
    <t>CapScan_transit_time_days</t>
  </si>
  <si>
    <t>Storage_C</t>
  </si>
  <si>
    <t>Spikein_load_estimate_cells_p_uL</t>
  </si>
  <si>
    <t>SLIP_imaging_estimate_cells_p_uL</t>
  </si>
  <si>
    <t>Spike_in_cell_p_mL</t>
  </si>
  <si>
    <t>SLIP_cell_p_mL</t>
  </si>
  <si>
    <t>colon</t>
  </si>
  <si>
    <t>saliva</t>
  </si>
  <si>
    <t>stool</t>
  </si>
  <si>
    <t>proximal SI</t>
  </si>
  <si>
    <t>stomach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</si>
</sst>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E+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165" fontId="3" fillId="0" borderId="0" xfId="0" applyNumberFormat="1" applyFont="1"/>
    <xf numFmtId="0" fontId="4" fillId="0" borderId="0" xfId="0" applyFont="1" applyAlignment="1">
      <alignment horizontal="center" vertical="center"/>
    </xf>
    <xf numFmtId="0" fontId="3" fillId="0" borderId="0" xfId="1" quotePrefix="1" applyFont="1" applyAlignment="1">
      <alignment horizontal="center" vertical="center"/>
    </xf>
    <xf numFmtId="0" fontId="1" fillId="0" borderId="0" xfId="1"/>
    <xf numFmtId="0" fontId="2" fillId="0" borderId="0" xfId="1" applyFont="1" applyFill="1" applyAlignment="1">
      <alignment horizontal="center" vertical="center" wrapText="1"/>
    </xf>
    <xf numFmtId="165" fontId="0" fillId="0" borderId="0" xfId="0" applyNumberFormat="1"/>
  </cellXfs>
  <cellStyles count="2">
    <cellStyle name="Normal" xfId="0" builtinId="0"/>
    <cellStyle name="Normal 2" xfId="1" xr:uid="{D0447A89-7209-6146-9F27-4DCD080B3A88}"/>
  </cellStyles>
  <dxfs count="21">
    <dxf>
      <numFmt numFmtId="165" formatCode="0E+00"/>
    </dxf>
    <dxf>
      <numFmt numFmtId="165" formatCode="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25" formatCode="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9" formatCode="m/d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25" formatCode="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9" formatCode="m/d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64701-D14A-6141-8735-94C81623DEF4}" name="Table2" displayName="Table2" ref="A1:U98" totalsRowShown="0" headerRowDxfId="20" headerRowCellStyle="Normal 2">
  <autoFilter ref="A1:U98" xr:uid="{81364701-D14A-6141-8735-94C81623DEF4}"/>
  <sortState xmlns:xlrd2="http://schemas.microsoft.com/office/spreadsheetml/2017/richdata2" ref="A2:U98">
    <sortCondition ref="C1:C98"/>
  </sortState>
  <tableColumns count="21">
    <tableColumn id="1" xr3:uid="{8ABCEFF7-0FC0-E247-B497-9915C702C83F}" name="Sample_no" dataDxfId="19" dataCellStyle="Normal 2"/>
    <tableColumn id="2" xr3:uid="{FAA5BE8D-FB54-F940-B487-D3E739F4E1A8}" name="Sample_origin" dataDxfId="18"/>
    <tableColumn id="3" xr3:uid="{78B69A51-FE63-184E-BAA5-0EC0B9E67A0D}" name="Prediction" dataDxfId="17" dataCellStyle="Normal 2"/>
    <tableColumn id="11" xr3:uid="{9D272124-7186-C742-A651-C2D18E6FFB6B}" name="pH" dataDxfId="16" dataCellStyle="Normal 2"/>
    <tableColumn id="18" xr3:uid="{D82E8E84-3D9C-3741-B285-D4DCDC4A13E8}" name="Prep_dilution_factor" dataDxfId="15" dataCellStyle="Normal 2">
      <calculatedColumnFormula>(96*3)/96</calculatedColumnFormula>
    </tableColumn>
    <tableColumn id="17" xr3:uid="{6137BE7C-7BA2-9048-B82F-5D5E4CD222EE}" name="Aliquot_dilution_factor" dataDxfId="14" dataCellStyle="Normal 2"/>
    <tableColumn id="16" xr3:uid="{EA91A15A-42FF-284E-BE54-A6E982472B1B}" name="Total dilution factor*" dataDxfId="13" dataCellStyle="Normal 2">
      <calculatedColumnFormula>Table2[[#This Row],[Prep_dilution_factor]]*Table2[[#This Row],[Aliquot_dilution_factor]]</calculatedColumnFormula>
    </tableColumn>
    <tableColumn id="4" xr3:uid="{7EA68284-8EBF-D748-AAA6-D79E33E39E64}" name="Subject" dataDxfId="12" dataCellStyle="Normal 2"/>
    <tableColumn id="5" xr3:uid="{BC852955-9AA7-A64A-833C-3A32C4E13BE7}" name="Date_sampled" dataDxfId="11" dataCellStyle="Normal 2"/>
    <tableColumn id="6" xr3:uid="{F6CFD77B-8330-2C44-AFB7-0FD3D4B73DCE}" name="Time_sampled" dataDxfId="10" dataCellStyle="Normal 2"/>
    <tableColumn id="7" xr3:uid="{77ADA759-D049-884D-8D20-E9BC710F9597}" name="Date_retrieved" dataDxfId="9" dataCellStyle="Normal 2"/>
    <tableColumn id="8" xr3:uid="{32711D51-2542-1140-9056-007D3DB08983}" name="Time_retrieved" dataDxfId="8" dataCellStyle="Normal 2"/>
    <tableColumn id="9" xr3:uid="{E9D0D1B3-B87B-874E-BC29-B727697B3D1A}" name="Cap_ID" dataDxfId="7" dataCellStyle="Normal 2"/>
    <tableColumn id="10" xr3:uid="{A36D160C-C8B7-F243-97D0-64289314CA94}" name="Cap_type" dataDxfId="6" dataCellStyle="Normal 2"/>
    <tableColumn id="13" xr3:uid="{94A46873-C7D9-5C4D-8266-684D7E723ECF}" name="CapScan_transit_time_days" dataDxfId="5" dataCellStyle="Normal 2">
      <calculatedColumnFormula>(K2+L2)-(I2+J2)</calculatedColumnFormula>
    </tableColumn>
    <tableColumn id="14" xr3:uid="{AE5CC7E0-4EC2-3C46-8CE6-FC70FFD43B20}" name="Notes" dataDxfId="4" dataCellStyle="Normal 2"/>
    <tableColumn id="19" xr3:uid="{B697A0F8-7809-694C-85D9-14EA01E608BB}" name="Storage_C" dataDxfId="3" dataCellStyle="Normal 2"/>
    <tableColumn id="12" xr3:uid="{D5CF6E3F-7645-954A-A85D-BFC6FC11B027}" name="Spikein_load_estimate_cells_p_uL" dataDxfId="2" dataCellStyle="Normal 2"/>
    <tableColumn id="20" xr3:uid="{9E90FBF4-6C34-B44C-A891-674330D39135}" name="SLIP_imaging_estimate_cells_p_uL" dataCellStyle="Normal 2"/>
    <tableColumn id="15" xr3:uid="{1D8A754A-84FF-FD4A-BBF5-7FA08BED9DD8}" name="Spike_in_cell_p_mL" dataDxfId="1">
      <calculatedColumnFormula>Table2[[#This Row],[Spikein_load_estimate_cells_p_uL]]*1000</calculatedColumnFormula>
    </tableColumn>
    <tableColumn id="21" xr3:uid="{129015B8-5E07-DD4C-8495-A59F9C5F5CE0}" name="SLIP_cell_p_mL" dataDxfId="0">
      <calculatedColumnFormula>Table2[[#This Row],[SLIP_imaging_estimate_cells_p_uL]]*1000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44CC-09A9-FB40-8172-13D133825388}">
  <dimension ref="A1:U98"/>
  <sheetViews>
    <sheetView tabSelected="1" topLeftCell="G38" workbookViewId="0">
      <selection activeCell="U55" sqref="U55"/>
    </sheetView>
  </sheetViews>
  <sheetFormatPr baseColWidth="10" defaultRowHeight="16" x14ac:dyDescent="0.2"/>
  <cols>
    <col min="18" max="18" width="11" customWidth="1"/>
  </cols>
  <sheetData>
    <row r="1" spans="1:21" ht="68" x14ac:dyDescent="0.2">
      <c r="A1" s="1" t="s">
        <v>43</v>
      </c>
      <c r="B1" s="1" t="s">
        <v>44</v>
      </c>
      <c r="C1" s="1" t="s">
        <v>45</v>
      </c>
      <c r="D1" s="1" t="s">
        <v>0</v>
      </c>
      <c r="E1" s="1" t="s">
        <v>47</v>
      </c>
      <c r="F1" s="1" t="s">
        <v>46</v>
      </c>
      <c r="G1" s="1" t="s">
        <v>1</v>
      </c>
      <c r="H1" s="1" t="s">
        <v>2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3</v>
      </c>
      <c r="Q1" s="1" t="s">
        <v>55</v>
      </c>
      <c r="R1" s="1" t="s">
        <v>56</v>
      </c>
      <c r="S1" s="1" t="s">
        <v>57</v>
      </c>
      <c r="T1" s="12" t="s">
        <v>58</v>
      </c>
      <c r="U1" s="12" t="s">
        <v>59</v>
      </c>
    </row>
    <row r="2" spans="1:21" ht="34" x14ac:dyDescent="0.2">
      <c r="A2" s="2">
        <v>437</v>
      </c>
      <c r="B2" s="9" t="s">
        <v>4</v>
      </c>
      <c r="C2" s="3" t="s">
        <v>60</v>
      </c>
      <c r="D2" s="3">
        <v>4.4000000000000004</v>
      </c>
      <c r="E2" s="3">
        <v>1</v>
      </c>
      <c r="F2" s="3">
        <v>10</v>
      </c>
      <c r="G2" s="3">
        <f>Table2[[#This Row],[Prep_dilution_factor]]*Table2[[#This Row],[Aliquot_dilution_factor]]</f>
        <v>10</v>
      </c>
      <c r="H2" s="3">
        <v>6</v>
      </c>
      <c r="I2" s="4">
        <v>44816</v>
      </c>
      <c r="J2" s="5">
        <v>0.3576388888888889</v>
      </c>
      <c r="K2" s="4">
        <v>44817</v>
      </c>
      <c r="L2" s="5">
        <v>0.25347222222222221</v>
      </c>
      <c r="M2" s="3" t="s">
        <v>12</v>
      </c>
      <c r="N2" s="3">
        <v>1</v>
      </c>
      <c r="O2" s="6">
        <f>(K2+L2)-(I2+J2)</f>
        <v>0.89583333332848269</v>
      </c>
      <c r="P2" s="3"/>
      <c r="Q2" s="3">
        <v>-80</v>
      </c>
      <c r="R2" s="8">
        <v>3250000</v>
      </c>
      <c r="S2" s="8">
        <v>2900000</v>
      </c>
      <c r="T2" s="13">
        <f>Table2[[#This Row],[Spikein_load_estimate_cells_p_uL]]*1000</f>
        <v>3250000000</v>
      </c>
      <c r="U2" s="13">
        <f>Table2[[#This Row],[SLIP_imaging_estimate_cells_p_uL]]*1000</f>
        <v>2900000000</v>
      </c>
    </row>
    <row r="3" spans="1:21" x14ac:dyDescent="0.2">
      <c r="A3" s="2">
        <v>434</v>
      </c>
      <c r="B3" s="9" t="s">
        <v>4</v>
      </c>
      <c r="C3" s="3" t="s">
        <v>60</v>
      </c>
      <c r="D3" s="3">
        <v>5.3</v>
      </c>
      <c r="E3" s="3">
        <v>1</v>
      </c>
      <c r="F3" s="3">
        <v>10</v>
      </c>
      <c r="G3" s="3">
        <f>Table2[[#This Row],[Prep_dilution_factor]]*Table2[[#This Row],[Aliquot_dilution_factor]]</f>
        <v>10</v>
      </c>
      <c r="H3" s="3">
        <v>6</v>
      </c>
      <c r="I3" s="4">
        <v>44815</v>
      </c>
      <c r="J3" s="5">
        <v>0.38680555555555557</v>
      </c>
      <c r="K3" s="4">
        <v>44816</v>
      </c>
      <c r="L3" s="5">
        <v>0.31597222222222221</v>
      </c>
      <c r="M3" s="3" t="s">
        <v>11</v>
      </c>
      <c r="N3" s="3">
        <v>2</v>
      </c>
      <c r="O3" s="6">
        <f>(K3+L3)-(I3+J3)</f>
        <v>0.92916666666133096</v>
      </c>
      <c r="P3" s="3"/>
      <c r="Q3" s="3">
        <v>-80</v>
      </c>
      <c r="R3" s="8">
        <v>1420000</v>
      </c>
      <c r="S3" s="8">
        <v>4800000</v>
      </c>
      <c r="T3" s="13">
        <f>Table2[[#This Row],[Spikein_load_estimate_cells_p_uL]]*1000</f>
        <v>1420000000</v>
      </c>
      <c r="U3" s="13">
        <f>Table2[[#This Row],[SLIP_imaging_estimate_cells_p_uL]]*1000</f>
        <v>4800000000</v>
      </c>
    </row>
    <row r="4" spans="1:21" x14ac:dyDescent="0.2">
      <c r="A4" s="2">
        <v>467</v>
      </c>
      <c r="B4" s="9" t="s">
        <v>4</v>
      </c>
      <c r="C4" s="3" t="s">
        <v>60</v>
      </c>
      <c r="D4" s="3" t="s">
        <v>8</v>
      </c>
      <c r="E4" s="3">
        <v>1</v>
      </c>
      <c r="F4" s="3">
        <v>10</v>
      </c>
      <c r="G4" s="3">
        <f>Table2[[#This Row],[Prep_dilution_factor]]*Table2[[#This Row],[Aliquot_dilution_factor]]</f>
        <v>10</v>
      </c>
      <c r="H4" s="3">
        <v>4</v>
      </c>
      <c r="I4" s="4">
        <v>44818</v>
      </c>
      <c r="J4" s="5">
        <v>0.47222222222222227</v>
      </c>
      <c r="K4" s="4">
        <v>44819</v>
      </c>
      <c r="L4" s="5">
        <v>0.40277777777777773</v>
      </c>
      <c r="M4" s="3" t="s">
        <v>17</v>
      </c>
      <c r="N4" s="3">
        <v>1</v>
      </c>
      <c r="O4" s="6">
        <f>(K4+L4)-(I4+J4)</f>
        <v>0.93055555556202307</v>
      </c>
      <c r="P4" s="3"/>
      <c r="Q4" s="3">
        <v>-80</v>
      </c>
      <c r="R4" s="8">
        <v>21200000</v>
      </c>
      <c r="S4" s="8">
        <v>11000000</v>
      </c>
      <c r="T4" s="13">
        <f>Table2[[#This Row],[Spikein_load_estimate_cells_p_uL]]*1000</f>
        <v>21200000000</v>
      </c>
      <c r="U4" s="13">
        <f>Table2[[#This Row],[SLIP_imaging_estimate_cells_p_uL]]*1000</f>
        <v>11000000000</v>
      </c>
    </row>
    <row r="5" spans="1:21" ht="34" x14ac:dyDescent="0.2">
      <c r="A5" s="2">
        <v>464</v>
      </c>
      <c r="B5" s="9" t="s">
        <v>4</v>
      </c>
      <c r="C5" s="3" t="s">
        <v>60</v>
      </c>
      <c r="D5" s="3">
        <v>6.2</v>
      </c>
      <c r="E5" s="3">
        <v>1</v>
      </c>
      <c r="F5" s="3">
        <v>10</v>
      </c>
      <c r="G5" s="3">
        <f>Table2[[#This Row],[Prep_dilution_factor]]*Table2[[#This Row],[Aliquot_dilution_factor]]</f>
        <v>10</v>
      </c>
      <c r="H5" s="3">
        <v>4</v>
      </c>
      <c r="I5" s="4">
        <v>44817</v>
      </c>
      <c r="J5" s="5">
        <v>0.4201388888888889</v>
      </c>
      <c r="K5" s="4">
        <v>44819</v>
      </c>
      <c r="L5" s="5">
        <v>0.34722222222222227</v>
      </c>
      <c r="M5" s="3" t="s">
        <v>15</v>
      </c>
      <c r="N5" s="3">
        <v>1</v>
      </c>
      <c r="O5" s="6">
        <f>(K5+L5)-(I5+J5)</f>
        <v>1.9270833333284827</v>
      </c>
      <c r="P5" s="3"/>
      <c r="Q5" s="3">
        <v>-80</v>
      </c>
      <c r="R5" s="8">
        <v>4010000</v>
      </c>
      <c r="S5" s="8">
        <v>18000000</v>
      </c>
      <c r="T5" s="13">
        <f>Table2[[#This Row],[Spikein_load_estimate_cells_p_uL]]*1000</f>
        <v>4010000000</v>
      </c>
      <c r="U5" s="13">
        <f>Table2[[#This Row],[SLIP_imaging_estimate_cells_p_uL]]*1000</f>
        <v>18000000000</v>
      </c>
    </row>
    <row r="6" spans="1:21" x14ac:dyDescent="0.2">
      <c r="A6" s="2">
        <v>450</v>
      </c>
      <c r="B6" s="9" t="s">
        <v>4</v>
      </c>
      <c r="C6" s="3" t="s">
        <v>60</v>
      </c>
      <c r="D6" s="3" t="s">
        <v>8</v>
      </c>
      <c r="E6" s="3">
        <v>1</v>
      </c>
      <c r="F6" s="3">
        <v>10</v>
      </c>
      <c r="G6" s="3">
        <f>Table2[[#This Row],[Prep_dilution_factor]]*Table2[[#This Row],[Aliquot_dilution_factor]]</f>
        <v>10</v>
      </c>
      <c r="H6" s="3">
        <v>5</v>
      </c>
      <c r="I6" s="4">
        <v>44815</v>
      </c>
      <c r="J6" s="5">
        <v>0.45833333333333331</v>
      </c>
      <c r="K6" s="4">
        <v>44817</v>
      </c>
      <c r="L6" s="5">
        <v>0.39583333333333331</v>
      </c>
      <c r="M6" s="3" t="s">
        <v>14</v>
      </c>
      <c r="N6" s="3">
        <v>2</v>
      </c>
      <c r="O6" s="6">
        <f>(K6+L6)-(I6+J6)</f>
        <v>1.9375</v>
      </c>
      <c r="P6" s="3"/>
      <c r="Q6" s="3">
        <v>-80</v>
      </c>
      <c r="R6" s="8">
        <v>3770000</v>
      </c>
      <c r="S6" s="8">
        <v>24000000</v>
      </c>
      <c r="T6" s="13">
        <f>Table2[[#This Row],[Spikein_load_estimate_cells_p_uL]]*1000</f>
        <v>3770000000</v>
      </c>
      <c r="U6" s="13">
        <f>Table2[[#This Row],[SLIP_imaging_estimate_cells_p_uL]]*1000</f>
        <v>24000000000</v>
      </c>
    </row>
    <row r="7" spans="1:21" x14ac:dyDescent="0.2">
      <c r="A7" s="2">
        <v>409</v>
      </c>
      <c r="B7" s="3" t="s">
        <v>4</v>
      </c>
      <c r="C7" s="3" t="s">
        <v>60</v>
      </c>
      <c r="D7" s="3">
        <v>6.3</v>
      </c>
      <c r="E7" s="3">
        <f>(21*3)/21</f>
        <v>3</v>
      </c>
      <c r="F7" s="3">
        <v>10</v>
      </c>
      <c r="G7" s="3">
        <f>Table2[[#This Row],[Prep_dilution_factor]]*Table2[[#This Row],[Aliquot_dilution_factor]]</f>
        <v>30</v>
      </c>
      <c r="H7" s="3">
        <v>2</v>
      </c>
      <c r="I7" s="4">
        <v>44811</v>
      </c>
      <c r="J7" s="5">
        <v>0.39583333333333331</v>
      </c>
      <c r="K7" s="4">
        <v>44812</v>
      </c>
      <c r="L7" s="5">
        <v>0.39583333333333331</v>
      </c>
      <c r="M7" s="3" t="s">
        <v>7</v>
      </c>
      <c r="N7" s="3">
        <v>1</v>
      </c>
      <c r="O7" s="6">
        <f>(K7+L7)-(I7+J7)</f>
        <v>1</v>
      </c>
      <c r="P7" s="3"/>
      <c r="Q7" s="3">
        <v>-80</v>
      </c>
      <c r="R7" s="8">
        <v>10000000</v>
      </c>
      <c r="S7" s="8">
        <v>28000000</v>
      </c>
      <c r="T7" s="13">
        <f>Table2[[#This Row],[Spikein_load_estimate_cells_p_uL]]*1000</f>
        <v>10000000000</v>
      </c>
      <c r="U7" s="13">
        <f>Table2[[#This Row],[SLIP_imaging_estimate_cells_p_uL]]*1000</f>
        <v>28000000000</v>
      </c>
    </row>
    <row r="8" spans="1:21" x14ac:dyDescent="0.2">
      <c r="A8" s="2">
        <v>466</v>
      </c>
      <c r="B8" s="9" t="s">
        <v>4</v>
      </c>
      <c r="C8" s="3" t="s">
        <v>60</v>
      </c>
      <c r="D8" s="3">
        <v>6.3</v>
      </c>
      <c r="E8" s="3">
        <v>1</v>
      </c>
      <c r="F8" s="3">
        <v>10</v>
      </c>
      <c r="G8" s="3">
        <f>Table2[[#This Row],[Prep_dilution_factor]]*Table2[[#This Row],[Aliquot_dilution_factor]]</f>
        <v>10</v>
      </c>
      <c r="H8" s="3">
        <v>4</v>
      </c>
      <c r="I8" s="4">
        <v>44817</v>
      </c>
      <c r="J8" s="5">
        <v>0.4201388888888889</v>
      </c>
      <c r="K8" s="4">
        <v>44819</v>
      </c>
      <c r="L8" s="5">
        <v>0.34722222222222227</v>
      </c>
      <c r="M8" s="3" t="s">
        <v>16</v>
      </c>
      <c r="N8" s="3">
        <v>2</v>
      </c>
      <c r="O8" s="6">
        <f>(K8+L8)-(I8+J8)</f>
        <v>1.9270833333284827</v>
      </c>
      <c r="P8" s="3"/>
      <c r="Q8" s="3">
        <v>-80</v>
      </c>
      <c r="R8" s="8"/>
      <c r="S8" s="8">
        <v>28000000</v>
      </c>
      <c r="T8" s="13"/>
      <c r="U8" s="13">
        <f>Table2[[#This Row],[SLIP_imaging_estimate_cells_p_uL]]*1000</f>
        <v>28000000000</v>
      </c>
    </row>
    <row r="9" spans="1:21" x14ac:dyDescent="0.2">
      <c r="A9" s="2">
        <v>411</v>
      </c>
      <c r="B9" s="3" t="s">
        <v>4</v>
      </c>
      <c r="C9" s="3" t="s">
        <v>60</v>
      </c>
      <c r="D9" s="3" t="s">
        <v>8</v>
      </c>
      <c r="E9" s="3">
        <v>1</v>
      </c>
      <c r="F9" s="3">
        <v>10</v>
      </c>
      <c r="G9" s="3">
        <f>Table2[[#This Row],[Prep_dilution_factor]]*Table2[[#This Row],[Aliquot_dilution_factor]]</f>
        <v>10</v>
      </c>
      <c r="H9" s="3">
        <v>2</v>
      </c>
      <c r="I9" s="4">
        <v>44811</v>
      </c>
      <c r="J9" s="5">
        <v>0.39583333333333331</v>
      </c>
      <c r="K9" s="4">
        <v>44813</v>
      </c>
      <c r="L9" s="5">
        <v>0.41666666666666669</v>
      </c>
      <c r="M9" s="3" t="s">
        <v>9</v>
      </c>
      <c r="N9" s="3">
        <v>2</v>
      </c>
      <c r="O9" s="6">
        <f>(K9+L9)-(I9+J9)</f>
        <v>2.0208333333284827</v>
      </c>
      <c r="P9" s="3"/>
      <c r="Q9" s="3">
        <v>-80</v>
      </c>
      <c r="R9" s="8">
        <v>54200000</v>
      </c>
      <c r="S9" s="8">
        <v>72000000</v>
      </c>
      <c r="T9" s="13">
        <f>Table2[[#This Row],[Spikein_load_estimate_cells_p_uL]]*1000</f>
        <v>54200000000</v>
      </c>
      <c r="U9" s="13">
        <f>Table2[[#This Row],[SLIP_imaging_estimate_cells_p_uL]]*1000</f>
        <v>72000000000</v>
      </c>
    </row>
    <row r="10" spans="1:21" x14ac:dyDescent="0.2">
      <c r="A10" s="2">
        <v>408</v>
      </c>
      <c r="B10" s="3" t="s">
        <v>4</v>
      </c>
      <c r="C10" s="3" t="s">
        <v>60</v>
      </c>
      <c r="D10" s="3">
        <v>5.8</v>
      </c>
      <c r="E10" s="3">
        <f>((44*3)/44)*2</f>
        <v>6</v>
      </c>
      <c r="F10" s="3">
        <v>10</v>
      </c>
      <c r="G10" s="3">
        <f>Table2[[#This Row],[Prep_dilution_factor]]*Table2[[#This Row],[Aliquot_dilution_factor]]</f>
        <v>60</v>
      </c>
      <c r="H10" s="3">
        <v>2</v>
      </c>
      <c r="I10" s="4">
        <v>44810</v>
      </c>
      <c r="J10" s="5">
        <v>0.44444444444444442</v>
      </c>
      <c r="K10" s="4">
        <v>44812</v>
      </c>
      <c r="L10" s="5">
        <v>0.39583333333333331</v>
      </c>
      <c r="M10" s="3" t="s">
        <v>5</v>
      </c>
      <c r="N10" s="3">
        <v>2</v>
      </c>
      <c r="O10" s="6">
        <f>(K10+L10)-(I10+J10)</f>
        <v>1.9513888888905058</v>
      </c>
      <c r="P10" s="7" t="s">
        <v>6</v>
      </c>
      <c r="Q10" s="3">
        <v>-80</v>
      </c>
      <c r="R10" s="8">
        <v>13200000</v>
      </c>
      <c r="S10" s="8">
        <v>74000000</v>
      </c>
      <c r="T10" s="13">
        <f>Table2[[#This Row],[Spikein_load_estimate_cells_p_uL]]*1000</f>
        <v>13200000000</v>
      </c>
      <c r="U10" s="13">
        <f>Table2[[#This Row],[SLIP_imaging_estimate_cells_p_uL]]*1000</f>
        <v>74000000000</v>
      </c>
    </row>
    <row r="11" spans="1:21" x14ac:dyDescent="0.2">
      <c r="A11" s="2">
        <v>516</v>
      </c>
      <c r="B11" s="9" t="s">
        <v>4</v>
      </c>
      <c r="C11" s="3" t="s">
        <v>60</v>
      </c>
      <c r="D11" s="3" t="s">
        <v>8</v>
      </c>
      <c r="E11" s="3">
        <f>(60*2)/60</f>
        <v>2</v>
      </c>
      <c r="F11" s="3">
        <v>10</v>
      </c>
      <c r="G11" s="3">
        <f>Table2[[#This Row],[Prep_dilution_factor]]*Table2[[#This Row],[Aliquot_dilution_factor]]</f>
        <v>20</v>
      </c>
      <c r="H11" s="3">
        <v>7</v>
      </c>
      <c r="I11" s="4">
        <v>44826</v>
      </c>
      <c r="J11" s="5">
        <v>0.45833333333333331</v>
      </c>
      <c r="K11" s="4">
        <v>44831</v>
      </c>
      <c r="L11" s="5">
        <v>0.33333333333333331</v>
      </c>
      <c r="M11" s="3" t="s">
        <v>19</v>
      </c>
      <c r="N11" s="3">
        <v>2</v>
      </c>
      <c r="O11" s="6">
        <f>(K11+L11)-(I11+J11)</f>
        <v>4.875</v>
      </c>
      <c r="P11" s="3"/>
      <c r="Q11" s="3">
        <v>-80</v>
      </c>
      <c r="R11" s="8">
        <v>20100000</v>
      </c>
      <c r="S11" s="8">
        <v>120000000</v>
      </c>
      <c r="T11" s="13">
        <f>Table2[[#This Row],[Spikein_load_estimate_cells_p_uL]]*1000</f>
        <v>20100000000</v>
      </c>
      <c r="U11" s="13">
        <f>Table2[[#This Row],[SLIP_imaging_estimate_cells_p_uL]]*1000</f>
        <v>120000000000</v>
      </c>
    </row>
    <row r="12" spans="1:21" x14ac:dyDescent="0.2">
      <c r="A12" s="2">
        <v>479</v>
      </c>
      <c r="B12" s="9" t="s">
        <v>4</v>
      </c>
      <c r="C12" s="3" t="s">
        <v>60</v>
      </c>
      <c r="D12" s="3" t="s">
        <v>8</v>
      </c>
      <c r="E12" s="3">
        <f>(10+52)/10</f>
        <v>6.2</v>
      </c>
      <c r="F12" s="3">
        <v>10</v>
      </c>
      <c r="G12" s="3">
        <f>Table2[[#This Row],[Prep_dilution_factor]]*Table2[[#This Row],[Aliquot_dilution_factor]]</f>
        <v>62</v>
      </c>
      <c r="H12" s="3">
        <v>8</v>
      </c>
      <c r="I12" s="4">
        <v>44825</v>
      </c>
      <c r="J12" s="5">
        <v>0.3840277777777778</v>
      </c>
      <c r="K12" s="4">
        <v>44827</v>
      </c>
      <c r="L12" s="5">
        <v>0.3125</v>
      </c>
      <c r="M12" s="3" t="s">
        <v>18</v>
      </c>
      <c r="N12" s="3">
        <v>2</v>
      </c>
      <c r="O12" s="6">
        <f>(K12+L12)-(I12+J12)</f>
        <v>1.9284722222218988</v>
      </c>
      <c r="P12" s="3"/>
      <c r="Q12" s="3">
        <v>-80</v>
      </c>
      <c r="R12" s="8">
        <v>66300000</v>
      </c>
      <c r="S12" s="8">
        <v>290000000</v>
      </c>
      <c r="T12" s="13">
        <f>Table2[[#This Row],[Spikein_load_estimate_cells_p_uL]]*1000</f>
        <v>66300000000</v>
      </c>
      <c r="U12" s="13">
        <f>Table2[[#This Row],[SLIP_imaging_estimate_cells_p_uL]]*1000</f>
        <v>290000000000</v>
      </c>
    </row>
    <row r="13" spans="1:21" x14ac:dyDescent="0.2">
      <c r="A13" s="2">
        <v>440</v>
      </c>
      <c r="B13" s="9" t="s">
        <v>4</v>
      </c>
      <c r="C13" s="3" t="s">
        <v>60</v>
      </c>
      <c r="D13" s="3">
        <v>5.2</v>
      </c>
      <c r="E13" s="3">
        <v>1</v>
      </c>
      <c r="F13" s="3">
        <v>10</v>
      </c>
      <c r="G13" s="3">
        <f>Table2[[#This Row],[Prep_dilution_factor]]*Table2[[#This Row],[Aliquot_dilution_factor]]</f>
        <v>10</v>
      </c>
      <c r="H13" s="3">
        <v>6</v>
      </c>
      <c r="I13" s="4">
        <v>44816</v>
      </c>
      <c r="J13" s="5">
        <v>0.3576388888888889</v>
      </c>
      <c r="K13" s="4">
        <v>44817</v>
      </c>
      <c r="L13" s="5">
        <v>0.25347222222222221</v>
      </c>
      <c r="M13" s="3" t="s">
        <v>13</v>
      </c>
      <c r="N13" s="3">
        <v>2</v>
      </c>
      <c r="O13" s="6">
        <f>(K13+L13)-(I13+J13)</f>
        <v>0.89583333332848269</v>
      </c>
      <c r="P13" s="3"/>
      <c r="Q13" s="3">
        <v>-80</v>
      </c>
      <c r="R13" s="8">
        <v>1010000</v>
      </c>
      <c r="S13" s="8"/>
      <c r="T13" s="13">
        <f>Table2[[#This Row],[Spikein_load_estimate_cells_p_uL]]*1000</f>
        <v>1010000000</v>
      </c>
      <c r="U13" s="13"/>
    </row>
    <row r="14" spans="1:21" x14ac:dyDescent="0.2">
      <c r="A14" s="2">
        <v>417</v>
      </c>
      <c r="B14" s="9" t="s">
        <v>4</v>
      </c>
      <c r="C14" s="3" t="s">
        <v>60</v>
      </c>
      <c r="D14" s="3">
        <v>6.2</v>
      </c>
      <c r="E14" s="3">
        <f>((39*4)/39)*2</f>
        <v>8</v>
      </c>
      <c r="F14" s="3">
        <v>10</v>
      </c>
      <c r="G14" s="3">
        <f>Table2[[#This Row],[Prep_dilution_factor]]*Table2[[#This Row],[Aliquot_dilution_factor]]</f>
        <v>80</v>
      </c>
      <c r="H14" s="3">
        <v>3</v>
      </c>
      <c r="I14" s="4">
        <v>44811</v>
      </c>
      <c r="J14" s="5">
        <v>0.39930555555555558</v>
      </c>
      <c r="K14" s="4">
        <v>44812</v>
      </c>
      <c r="L14" s="5">
        <v>0.27083333333333331</v>
      </c>
      <c r="M14" s="3" t="s">
        <v>10</v>
      </c>
      <c r="N14" s="3">
        <v>2</v>
      </c>
      <c r="O14" s="6">
        <f>(K14+L14)-(I14+J14)</f>
        <v>0.87152777778101154</v>
      </c>
      <c r="P14" s="7" t="s">
        <v>6</v>
      </c>
      <c r="Q14" s="3">
        <v>-80</v>
      </c>
      <c r="R14" s="8">
        <v>7880000</v>
      </c>
      <c r="S14" s="8"/>
      <c r="T14" s="13">
        <f>Table2[[#This Row],[Spikein_load_estimate_cells_p_uL]]*1000</f>
        <v>7880000000</v>
      </c>
      <c r="U14" s="13"/>
    </row>
    <row r="15" spans="1:21" x14ac:dyDescent="0.2">
      <c r="A15" s="2">
        <v>518</v>
      </c>
      <c r="B15" s="9" t="s">
        <v>4</v>
      </c>
      <c r="C15" s="3" t="s">
        <v>60</v>
      </c>
      <c r="D15" s="3" t="s">
        <v>8</v>
      </c>
      <c r="E15" s="3">
        <f>(52+10)/10</f>
        <v>6.2</v>
      </c>
      <c r="F15" s="3">
        <v>10</v>
      </c>
      <c r="G15" s="3">
        <f>Table2[[#This Row],[Prep_dilution_factor]]*Table2[[#This Row],[Aliquot_dilution_factor]]</f>
        <v>62</v>
      </c>
      <c r="H15" s="3">
        <v>7</v>
      </c>
      <c r="I15" s="4">
        <v>44827</v>
      </c>
      <c r="J15" s="5">
        <v>0.4375</v>
      </c>
      <c r="K15" s="4">
        <v>44833</v>
      </c>
      <c r="L15" s="5">
        <v>0.3125</v>
      </c>
      <c r="M15" s="3" t="s">
        <v>20</v>
      </c>
      <c r="N15" s="3">
        <v>2</v>
      </c>
      <c r="O15" s="6">
        <f>(K15+L15)-(I15+J15)</f>
        <v>5.875</v>
      </c>
      <c r="P15" s="3"/>
      <c r="Q15" s="3">
        <v>-80</v>
      </c>
      <c r="R15" s="8">
        <v>15200000</v>
      </c>
      <c r="S15" s="8"/>
      <c r="T15" s="13">
        <f>Table2[[#This Row],[Spikein_load_estimate_cells_p_uL]]*1000</f>
        <v>15200000000</v>
      </c>
      <c r="U15" s="13"/>
    </row>
    <row r="16" spans="1:21" x14ac:dyDescent="0.2">
      <c r="A16" s="2">
        <v>486</v>
      </c>
      <c r="B16" s="3" t="s">
        <v>61</v>
      </c>
      <c r="C16" s="3" t="s">
        <v>61</v>
      </c>
      <c r="D16" s="3" t="s">
        <v>8</v>
      </c>
      <c r="E16" s="3">
        <v>1</v>
      </c>
      <c r="F16" s="3">
        <v>10</v>
      </c>
      <c r="G16" s="3">
        <f>Table2[[#This Row],[Prep_dilution_factor]]*Table2[[#This Row],[Aliquot_dilution_factor]]</f>
        <v>10</v>
      </c>
      <c r="H16" s="3">
        <v>9</v>
      </c>
      <c r="I16" s="9" t="s">
        <v>21</v>
      </c>
      <c r="J16" s="9" t="s">
        <v>21</v>
      </c>
      <c r="K16" s="4">
        <v>44825</v>
      </c>
      <c r="L16" s="5">
        <v>0.47222222222222227</v>
      </c>
      <c r="M16" s="9" t="s">
        <v>21</v>
      </c>
      <c r="N16" s="9" t="s">
        <v>21</v>
      </c>
      <c r="O16" s="9" t="s">
        <v>21</v>
      </c>
      <c r="P16" s="3"/>
      <c r="Q16" s="3">
        <v>-80</v>
      </c>
      <c r="R16" s="8">
        <v>232000</v>
      </c>
      <c r="S16" s="8">
        <v>380000</v>
      </c>
      <c r="T16" s="13">
        <f>Table2[[#This Row],[Spikein_load_estimate_cells_p_uL]]*1000</f>
        <v>232000000</v>
      </c>
      <c r="U16" s="13">
        <f>Table2[[#This Row],[SLIP_imaging_estimate_cells_p_uL]]*1000</f>
        <v>380000000</v>
      </c>
    </row>
    <row r="17" spans="1:21" x14ac:dyDescent="0.2">
      <c r="A17" s="2">
        <v>487</v>
      </c>
      <c r="B17" s="3" t="s">
        <v>61</v>
      </c>
      <c r="C17" s="3" t="s">
        <v>61</v>
      </c>
      <c r="D17" s="3" t="s">
        <v>8</v>
      </c>
      <c r="E17" s="3">
        <v>1</v>
      </c>
      <c r="F17" s="3">
        <v>10</v>
      </c>
      <c r="G17" s="3">
        <f>Table2[[#This Row],[Prep_dilution_factor]]*Table2[[#This Row],[Aliquot_dilution_factor]]</f>
        <v>10</v>
      </c>
      <c r="H17" s="3">
        <v>9</v>
      </c>
      <c r="I17" s="9" t="s">
        <v>21</v>
      </c>
      <c r="J17" s="9" t="s">
        <v>21</v>
      </c>
      <c r="K17" s="4">
        <v>44826</v>
      </c>
      <c r="L17" s="5">
        <v>0.52083333333333337</v>
      </c>
      <c r="M17" s="9" t="s">
        <v>21</v>
      </c>
      <c r="N17" s="9" t="s">
        <v>21</v>
      </c>
      <c r="O17" s="9" t="s">
        <v>21</v>
      </c>
      <c r="P17" s="3"/>
      <c r="Q17" s="3">
        <v>-80</v>
      </c>
      <c r="R17" s="8">
        <v>340000</v>
      </c>
      <c r="S17" s="8">
        <v>440000</v>
      </c>
      <c r="T17" s="13">
        <f>Table2[[#This Row],[Spikein_load_estimate_cells_p_uL]]*1000</f>
        <v>340000000</v>
      </c>
      <c r="U17" s="13">
        <f>Table2[[#This Row],[SLIP_imaging_estimate_cells_p_uL]]*1000</f>
        <v>440000000</v>
      </c>
    </row>
    <row r="18" spans="1:21" x14ac:dyDescent="0.2">
      <c r="A18" s="2">
        <v>510</v>
      </c>
      <c r="B18" s="3" t="s">
        <v>61</v>
      </c>
      <c r="C18" s="3" t="s">
        <v>61</v>
      </c>
      <c r="D18" s="3" t="s">
        <v>8</v>
      </c>
      <c r="E18" s="3">
        <v>1</v>
      </c>
      <c r="F18" s="3">
        <v>10</v>
      </c>
      <c r="G18" s="3">
        <f>Table2[[#This Row],[Prep_dilution_factor]]*Table2[[#This Row],[Aliquot_dilution_factor]]</f>
        <v>10</v>
      </c>
      <c r="H18" s="3">
        <v>7</v>
      </c>
      <c r="I18" s="9" t="s">
        <v>21</v>
      </c>
      <c r="J18" s="9" t="s">
        <v>21</v>
      </c>
      <c r="K18" s="4">
        <v>44826</v>
      </c>
      <c r="L18" s="5">
        <v>0.45833333333333331</v>
      </c>
      <c r="M18" s="9" t="s">
        <v>21</v>
      </c>
      <c r="N18" s="9" t="s">
        <v>21</v>
      </c>
      <c r="O18" s="9" t="s">
        <v>21</v>
      </c>
      <c r="P18" s="3"/>
      <c r="Q18" s="3">
        <v>-80</v>
      </c>
      <c r="R18" s="8">
        <v>54700</v>
      </c>
      <c r="S18" s="8">
        <v>540000</v>
      </c>
      <c r="T18" s="13">
        <f>Table2[[#This Row],[Spikein_load_estimate_cells_p_uL]]*1000</f>
        <v>54700000</v>
      </c>
      <c r="U18" s="13">
        <f>Table2[[#This Row],[SLIP_imaging_estimate_cells_p_uL]]*1000</f>
        <v>540000000</v>
      </c>
    </row>
    <row r="19" spans="1:21" x14ac:dyDescent="0.2">
      <c r="A19" s="2">
        <v>511</v>
      </c>
      <c r="B19" s="3" t="s">
        <v>61</v>
      </c>
      <c r="C19" s="3" t="s">
        <v>61</v>
      </c>
      <c r="D19" s="3" t="s">
        <v>8</v>
      </c>
      <c r="E19" s="3">
        <v>1</v>
      </c>
      <c r="F19" s="3">
        <v>10</v>
      </c>
      <c r="G19" s="3">
        <f>Table2[[#This Row],[Prep_dilution_factor]]*Table2[[#This Row],[Aliquot_dilution_factor]]</f>
        <v>10</v>
      </c>
      <c r="H19" s="3">
        <v>7</v>
      </c>
      <c r="I19" s="9" t="s">
        <v>21</v>
      </c>
      <c r="J19" s="9" t="s">
        <v>21</v>
      </c>
      <c r="K19" s="4">
        <v>44827</v>
      </c>
      <c r="L19" s="5">
        <v>0.4375</v>
      </c>
      <c r="M19" s="9" t="s">
        <v>21</v>
      </c>
      <c r="N19" s="9" t="s">
        <v>21</v>
      </c>
      <c r="O19" s="9" t="s">
        <v>21</v>
      </c>
      <c r="P19" s="3"/>
      <c r="Q19" s="3">
        <v>-80</v>
      </c>
      <c r="R19" s="8">
        <v>205000</v>
      </c>
      <c r="S19" s="8">
        <v>2700000</v>
      </c>
      <c r="T19" s="13">
        <f>Table2[[#This Row],[Spikein_load_estimate_cells_p_uL]]*1000</f>
        <v>205000000</v>
      </c>
      <c r="U19" s="13">
        <f>Table2[[#This Row],[SLIP_imaging_estimate_cells_p_uL]]*1000</f>
        <v>2700000000</v>
      </c>
    </row>
    <row r="20" spans="1:21" x14ac:dyDescent="0.2">
      <c r="A20" s="2">
        <v>488</v>
      </c>
      <c r="B20" s="3" t="s">
        <v>62</v>
      </c>
      <c r="C20" s="3" t="s">
        <v>62</v>
      </c>
      <c r="D20" s="3" t="s">
        <v>8</v>
      </c>
      <c r="E20" s="3">
        <f>(143*2)/143</f>
        <v>2</v>
      </c>
      <c r="F20" s="3">
        <v>10</v>
      </c>
      <c r="G20" s="3">
        <f>Table2[[#This Row],[Prep_dilution_factor]]*Table2[[#This Row],[Aliquot_dilution_factor]]</f>
        <v>20</v>
      </c>
      <c r="H20" s="3">
        <v>9</v>
      </c>
      <c r="I20" s="9" t="s">
        <v>21</v>
      </c>
      <c r="J20" s="9" t="s">
        <v>21</v>
      </c>
      <c r="K20" s="4">
        <v>44824</v>
      </c>
      <c r="L20" s="5">
        <v>0.79166666666666663</v>
      </c>
      <c r="M20" s="9" t="s">
        <v>21</v>
      </c>
      <c r="N20" s="9" t="s">
        <v>21</v>
      </c>
      <c r="O20" s="9" t="s">
        <v>21</v>
      </c>
      <c r="P20" s="3"/>
      <c r="Q20" s="3">
        <v>-80</v>
      </c>
      <c r="R20" s="8">
        <v>16500000</v>
      </c>
      <c r="S20" s="8">
        <v>29000000</v>
      </c>
      <c r="T20" s="13">
        <f>Table2[[#This Row],[Spikein_load_estimate_cells_p_uL]]*1000</f>
        <v>16500000000</v>
      </c>
      <c r="U20" s="13">
        <f>Table2[[#This Row],[SLIP_imaging_estimate_cells_p_uL]]*1000</f>
        <v>29000000000</v>
      </c>
    </row>
    <row r="21" spans="1:21" x14ac:dyDescent="0.2">
      <c r="A21" s="2">
        <v>513</v>
      </c>
      <c r="B21" s="3" t="s">
        <v>62</v>
      </c>
      <c r="C21" s="3" t="s">
        <v>62</v>
      </c>
      <c r="D21" s="3" t="s">
        <v>8</v>
      </c>
      <c r="E21" s="3">
        <f>(235*3)/235</f>
        <v>3</v>
      </c>
      <c r="F21" s="3">
        <v>10</v>
      </c>
      <c r="G21" s="3">
        <f>Table2[[#This Row],[Prep_dilution_factor]]*Table2[[#This Row],[Aliquot_dilution_factor]]</f>
        <v>30</v>
      </c>
      <c r="H21" s="3">
        <v>7</v>
      </c>
      <c r="I21" s="9" t="s">
        <v>21</v>
      </c>
      <c r="J21" s="9" t="s">
        <v>21</v>
      </c>
      <c r="K21" s="4">
        <v>44828</v>
      </c>
      <c r="L21" s="5">
        <v>0.47916666666666669</v>
      </c>
      <c r="M21" s="9" t="s">
        <v>21</v>
      </c>
      <c r="N21" s="9" t="s">
        <v>21</v>
      </c>
      <c r="O21" s="9" t="s">
        <v>21</v>
      </c>
      <c r="P21" s="3"/>
      <c r="Q21" s="3">
        <v>-80</v>
      </c>
      <c r="R21" s="8">
        <v>25700000</v>
      </c>
      <c r="S21" s="8">
        <v>52000000</v>
      </c>
      <c r="T21" s="13">
        <f>Table2[[#This Row],[Spikein_load_estimate_cells_p_uL]]*1000</f>
        <v>25700000000</v>
      </c>
      <c r="U21" s="13">
        <f>Table2[[#This Row],[SLIP_imaging_estimate_cells_p_uL]]*1000</f>
        <v>52000000000</v>
      </c>
    </row>
    <row r="22" spans="1:21" x14ac:dyDescent="0.2">
      <c r="A22" s="2">
        <v>489</v>
      </c>
      <c r="B22" s="3" t="s">
        <v>62</v>
      </c>
      <c r="C22" s="3" t="s">
        <v>62</v>
      </c>
      <c r="D22" s="3" t="s">
        <v>8</v>
      </c>
      <c r="E22" s="3">
        <f>(180*2)/180</f>
        <v>2</v>
      </c>
      <c r="F22" s="3">
        <v>10</v>
      </c>
      <c r="G22" s="3">
        <f>Table2[[#This Row],[Prep_dilution_factor]]*Table2[[#This Row],[Aliquot_dilution_factor]]</f>
        <v>20</v>
      </c>
      <c r="H22" s="3">
        <v>9</v>
      </c>
      <c r="I22" s="9" t="s">
        <v>21</v>
      </c>
      <c r="J22" s="9" t="s">
        <v>21</v>
      </c>
      <c r="K22" s="4">
        <v>44827</v>
      </c>
      <c r="L22" s="5">
        <v>0.41666666666666669</v>
      </c>
      <c r="M22" s="9" t="s">
        <v>21</v>
      </c>
      <c r="N22" s="9" t="s">
        <v>21</v>
      </c>
      <c r="O22" s="9" t="s">
        <v>21</v>
      </c>
      <c r="P22" s="3"/>
      <c r="Q22" s="3">
        <v>-80</v>
      </c>
      <c r="R22" s="8">
        <v>36200000</v>
      </c>
      <c r="S22" s="8">
        <v>55000000</v>
      </c>
      <c r="T22" s="13">
        <f>Table2[[#This Row],[Spikein_load_estimate_cells_p_uL]]*1000</f>
        <v>36200000000</v>
      </c>
      <c r="U22" s="13">
        <f>Table2[[#This Row],[SLIP_imaging_estimate_cells_p_uL]]*1000</f>
        <v>55000000000</v>
      </c>
    </row>
    <row r="23" spans="1:21" x14ac:dyDescent="0.2">
      <c r="A23" s="2">
        <v>512</v>
      </c>
      <c r="B23" s="3" t="s">
        <v>62</v>
      </c>
      <c r="C23" s="3" t="s">
        <v>62</v>
      </c>
      <c r="D23" s="3" t="s">
        <v>8</v>
      </c>
      <c r="E23" s="3">
        <f>(316*3)/316</f>
        <v>3</v>
      </c>
      <c r="F23" s="3">
        <v>10</v>
      </c>
      <c r="G23" s="3">
        <f>Table2[[#This Row],[Prep_dilution_factor]]*Table2[[#This Row],[Aliquot_dilution_factor]]</f>
        <v>30</v>
      </c>
      <c r="H23" s="3">
        <v>7</v>
      </c>
      <c r="I23" s="9" t="s">
        <v>21</v>
      </c>
      <c r="J23" s="9" t="s">
        <v>21</v>
      </c>
      <c r="K23" s="4">
        <v>44826</v>
      </c>
      <c r="L23" s="5">
        <v>0.47916666666666669</v>
      </c>
      <c r="M23" s="9" t="s">
        <v>21</v>
      </c>
      <c r="N23" s="9" t="s">
        <v>21</v>
      </c>
      <c r="O23" s="9" t="s">
        <v>21</v>
      </c>
      <c r="P23" s="3"/>
      <c r="Q23" s="3">
        <v>-80</v>
      </c>
      <c r="R23" s="8">
        <v>14300000</v>
      </c>
      <c r="S23" s="8">
        <v>92000000</v>
      </c>
      <c r="T23" s="13">
        <f>Table2[[#This Row],[Spikein_load_estimate_cells_p_uL]]*1000</f>
        <v>14300000000</v>
      </c>
      <c r="U23" s="13">
        <f>Table2[[#This Row],[SLIP_imaging_estimate_cells_p_uL]]*1000</f>
        <v>92000000000</v>
      </c>
    </row>
    <row r="24" spans="1:21" x14ac:dyDescent="0.2">
      <c r="A24" s="2">
        <v>401</v>
      </c>
      <c r="B24" s="3" t="s">
        <v>61</v>
      </c>
      <c r="C24" s="3" t="s">
        <v>61</v>
      </c>
      <c r="D24" s="3" t="s">
        <v>8</v>
      </c>
      <c r="E24" s="3">
        <v>1</v>
      </c>
      <c r="F24" s="3">
        <v>10</v>
      </c>
      <c r="G24" s="3">
        <f>Table2[[#This Row],[Prep_dilution_factor]]*Table2[[#This Row],[Aliquot_dilution_factor]]</f>
        <v>10</v>
      </c>
      <c r="H24" s="3">
        <v>2</v>
      </c>
      <c r="I24" s="9" t="s">
        <v>21</v>
      </c>
      <c r="J24" s="9" t="s">
        <v>21</v>
      </c>
      <c r="K24" s="4">
        <v>44810</v>
      </c>
      <c r="L24" s="5">
        <v>0.44444444444444442</v>
      </c>
      <c r="M24" s="9" t="s">
        <v>21</v>
      </c>
      <c r="N24" s="9" t="s">
        <v>21</v>
      </c>
      <c r="O24" s="9" t="s">
        <v>21</v>
      </c>
      <c r="P24" s="3"/>
      <c r="Q24" s="3">
        <v>-80</v>
      </c>
      <c r="R24" s="8">
        <v>29200</v>
      </c>
      <c r="S24" s="8"/>
      <c r="T24" s="13">
        <f>Table2[[#This Row],[Spikein_load_estimate_cells_p_uL]]*1000</f>
        <v>29200000</v>
      </c>
      <c r="U24" s="13"/>
    </row>
    <row r="25" spans="1:21" x14ac:dyDescent="0.2">
      <c r="A25" s="2">
        <v>402</v>
      </c>
      <c r="B25" s="3" t="s">
        <v>61</v>
      </c>
      <c r="C25" s="3" t="s">
        <v>61</v>
      </c>
      <c r="D25" s="3" t="s">
        <v>8</v>
      </c>
      <c r="E25" s="3">
        <v>1</v>
      </c>
      <c r="F25" s="3">
        <v>10</v>
      </c>
      <c r="G25" s="3">
        <f>Table2[[#This Row],[Prep_dilution_factor]]*Table2[[#This Row],[Aliquot_dilution_factor]]</f>
        <v>10</v>
      </c>
      <c r="H25" s="3">
        <v>2</v>
      </c>
      <c r="I25" s="9" t="s">
        <v>21</v>
      </c>
      <c r="J25" s="9" t="s">
        <v>21</v>
      </c>
      <c r="K25" s="4">
        <v>44811</v>
      </c>
      <c r="L25" s="5">
        <v>0.39583333333333331</v>
      </c>
      <c r="M25" s="9" t="s">
        <v>21</v>
      </c>
      <c r="N25" s="9" t="s">
        <v>21</v>
      </c>
      <c r="O25" s="9" t="s">
        <v>21</v>
      </c>
      <c r="P25" s="3"/>
      <c r="Q25" s="3">
        <v>-80</v>
      </c>
      <c r="R25" s="8">
        <v>44400</v>
      </c>
      <c r="S25" s="8"/>
      <c r="T25" s="13">
        <f>Table2[[#This Row],[Spikein_load_estimate_cells_p_uL]]*1000</f>
        <v>44400000</v>
      </c>
      <c r="U25" s="13"/>
    </row>
    <row r="26" spans="1:21" x14ac:dyDescent="0.2">
      <c r="A26" s="2">
        <v>472</v>
      </c>
      <c r="B26" s="3" t="s">
        <v>61</v>
      </c>
      <c r="C26" s="3" t="s">
        <v>61</v>
      </c>
      <c r="D26" s="3" t="s">
        <v>8</v>
      </c>
      <c r="E26" s="3">
        <v>1</v>
      </c>
      <c r="F26" s="3">
        <v>10</v>
      </c>
      <c r="G26" s="3">
        <f>Table2[[#This Row],[Prep_dilution_factor]]*Table2[[#This Row],[Aliquot_dilution_factor]]</f>
        <v>10</v>
      </c>
      <c r="H26" s="3">
        <v>8</v>
      </c>
      <c r="I26" s="9" t="s">
        <v>21</v>
      </c>
      <c r="J26" s="9" t="s">
        <v>21</v>
      </c>
      <c r="K26" s="4">
        <v>44825</v>
      </c>
      <c r="L26" s="5">
        <v>0.3833333333333333</v>
      </c>
      <c r="M26" s="9" t="s">
        <v>21</v>
      </c>
      <c r="N26" s="9" t="s">
        <v>21</v>
      </c>
      <c r="O26" s="9" t="s">
        <v>21</v>
      </c>
      <c r="P26" s="3"/>
      <c r="Q26" s="3">
        <v>-80</v>
      </c>
      <c r="R26" s="8">
        <v>46700</v>
      </c>
      <c r="S26" s="8"/>
      <c r="T26" s="13">
        <f>Table2[[#This Row],[Spikein_load_estimate_cells_p_uL]]*1000</f>
        <v>46700000</v>
      </c>
      <c r="U26" s="13"/>
    </row>
    <row r="27" spans="1:21" x14ac:dyDescent="0.2">
      <c r="A27" s="2">
        <v>458</v>
      </c>
      <c r="B27" s="3" t="s">
        <v>61</v>
      </c>
      <c r="C27" s="3" t="s">
        <v>61</v>
      </c>
      <c r="D27" s="3" t="s">
        <v>8</v>
      </c>
      <c r="E27" s="3">
        <v>1</v>
      </c>
      <c r="F27" s="3">
        <v>10</v>
      </c>
      <c r="G27" s="3">
        <f>Table2[[#This Row],[Prep_dilution_factor]]*Table2[[#This Row],[Aliquot_dilution_factor]]</f>
        <v>10</v>
      </c>
      <c r="H27" s="3">
        <v>4</v>
      </c>
      <c r="I27" s="10" t="s">
        <v>21</v>
      </c>
      <c r="J27" s="10" t="s">
        <v>21</v>
      </c>
      <c r="K27" s="4">
        <v>44817</v>
      </c>
      <c r="L27" s="5">
        <v>0.41875000000000001</v>
      </c>
      <c r="M27" s="10" t="s">
        <v>21</v>
      </c>
      <c r="N27" s="10" t="s">
        <v>21</v>
      </c>
      <c r="O27" s="10" t="s">
        <v>21</v>
      </c>
      <c r="P27" s="3"/>
      <c r="Q27" s="3">
        <v>-80</v>
      </c>
      <c r="R27" s="8">
        <v>47600</v>
      </c>
      <c r="S27" s="8"/>
      <c r="T27" s="13">
        <f>Table2[[#This Row],[Spikein_load_estimate_cells_p_uL]]*1000</f>
        <v>47600000</v>
      </c>
      <c r="U27" s="13"/>
    </row>
    <row r="28" spans="1:21" x14ac:dyDescent="0.2">
      <c r="A28" s="2">
        <v>421</v>
      </c>
      <c r="B28" s="3" t="s">
        <v>61</v>
      </c>
      <c r="C28" s="3" t="s">
        <v>61</v>
      </c>
      <c r="D28" s="3" t="s">
        <v>8</v>
      </c>
      <c r="E28" s="3">
        <v>1</v>
      </c>
      <c r="F28" s="3">
        <v>10</v>
      </c>
      <c r="G28" s="3">
        <f>Table2[[#This Row],[Prep_dilution_factor]]*Table2[[#This Row],[Aliquot_dilution_factor]]</f>
        <v>10</v>
      </c>
      <c r="H28" s="3">
        <v>3</v>
      </c>
      <c r="I28" s="9" t="s">
        <v>21</v>
      </c>
      <c r="J28" s="9" t="s">
        <v>21</v>
      </c>
      <c r="K28" s="4">
        <v>44812</v>
      </c>
      <c r="L28" s="5">
        <v>0.4375</v>
      </c>
      <c r="M28" s="9" t="s">
        <v>21</v>
      </c>
      <c r="N28" s="9" t="s">
        <v>21</v>
      </c>
      <c r="O28" s="9" t="s">
        <v>21</v>
      </c>
      <c r="P28" s="3"/>
      <c r="Q28" s="3">
        <v>-80</v>
      </c>
      <c r="R28" s="8">
        <v>57000</v>
      </c>
      <c r="S28" s="8"/>
      <c r="T28" s="13">
        <f>Table2[[#This Row],[Spikein_load_estimate_cells_p_uL]]*1000</f>
        <v>57000000</v>
      </c>
      <c r="U28" s="13"/>
    </row>
    <row r="29" spans="1:21" x14ac:dyDescent="0.2">
      <c r="A29" s="2">
        <v>459</v>
      </c>
      <c r="B29" s="3" t="s">
        <v>61</v>
      </c>
      <c r="C29" s="3" t="s">
        <v>61</v>
      </c>
      <c r="D29" s="3" t="s">
        <v>8</v>
      </c>
      <c r="E29" s="3">
        <v>1</v>
      </c>
      <c r="F29" s="3">
        <v>10</v>
      </c>
      <c r="G29" s="3">
        <f>Table2[[#This Row],[Prep_dilution_factor]]*Table2[[#This Row],[Aliquot_dilution_factor]]</f>
        <v>10</v>
      </c>
      <c r="H29" s="3">
        <v>4</v>
      </c>
      <c r="I29" s="10" t="s">
        <v>21</v>
      </c>
      <c r="J29" s="10" t="s">
        <v>21</v>
      </c>
      <c r="K29" s="4">
        <v>44818</v>
      </c>
      <c r="L29" s="5">
        <v>0.47222222222222227</v>
      </c>
      <c r="M29" s="10" t="s">
        <v>21</v>
      </c>
      <c r="N29" s="10" t="s">
        <v>21</v>
      </c>
      <c r="O29" s="10" t="s">
        <v>21</v>
      </c>
      <c r="P29" s="3"/>
      <c r="Q29" s="3">
        <v>-80</v>
      </c>
      <c r="R29" s="8">
        <v>83300</v>
      </c>
      <c r="S29" s="8"/>
      <c r="T29" s="13">
        <f>Table2[[#This Row],[Spikein_load_estimate_cells_p_uL]]*1000</f>
        <v>83300000</v>
      </c>
      <c r="U29" s="13"/>
    </row>
    <row r="30" spans="1:21" x14ac:dyDescent="0.2">
      <c r="A30" s="2">
        <v>428</v>
      </c>
      <c r="B30" s="3" t="s">
        <v>61</v>
      </c>
      <c r="C30" s="3" t="s">
        <v>61</v>
      </c>
      <c r="D30" s="3" t="s">
        <v>8</v>
      </c>
      <c r="E30" s="3">
        <v>1</v>
      </c>
      <c r="F30" s="3">
        <v>10</v>
      </c>
      <c r="G30" s="3">
        <f>Table2[[#This Row],[Prep_dilution_factor]]*Table2[[#This Row],[Aliquot_dilution_factor]]</f>
        <v>10</v>
      </c>
      <c r="H30" s="3">
        <v>6</v>
      </c>
      <c r="I30" s="9" t="s">
        <v>21</v>
      </c>
      <c r="J30" s="9" t="s">
        <v>21</v>
      </c>
      <c r="K30" s="4">
        <v>44816</v>
      </c>
      <c r="L30" s="5">
        <v>0.35625000000000001</v>
      </c>
      <c r="M30" s="9" t="s">
        <v>21</v>
      </c>
      <c r="N30" s="9" t="s">
        <v>21</v>
      </c>
      <c r="O30" s="9" t="s">
        <v>21</v>
      </c>
      <c r="P30" s="3"/>
      <c r="Q30" s="3">
        <v>-80</v>
      </c>
      <c r="R30" s="8">
        <v>90500</v>
      </c>
      <c r="S30" s="8"/>
      <c r="T30" s="13">
        <f>Table2[[#This Row],[Spikein_load_estimate_cells_p_uL]]*1000</f>
        <v>90500000</v>
      </c>
      <c r="U30" s="13"/>
    </row>
    <row r="31" spans="1:21" x14ac:dyDescent="0.2">
      <c r="A31" s="2">
        <v>427</v>
      </c>
      <c r="B31" s="3" t="s">
        <v>61</v>
      </c>
      <c r="C31" s="3" t="s">
        <v>61</v>
      </c>
      <c r="D31" s="3" t="s">
        <v>8</v>
      </c>
      <c r="E31" s="3">
        <v>1</v>
      </c>
      <c r="F31" s="3">
        <v>10</v>
      </c>
      <c r="G31" s="3">
        <f>Table2[[#This Row],[Prep_dilution_factor]]*Table2[[#This Row],[Aliquot_dilution_factor]]</f>
        <v>10</v>
      </c>
      <c r="H31" s="3">
        <v>6</v>
      </c>
      <c r="I31" s="9" t="s">
        <v>21</v>
      </c>
      <c r="J31" s="9" t="s">
        <v>21</v>
      </c>
      <c r="K31" s="4">
        <v>44815</v>
      </c>
      <c r="L31" s="5">
        <v>0.38541666666666669</v>
      </c>
      <c r="M31" s="9" t="s">
        <v>21</v>
      </c>
      <c r="N31" s="9" t="s">
        <v>21</v>
      </c>
      <c r="O31" s="9" t="s">
        <v>21</v>
      </c>
      <c r="P31" s="3"/>
      <c r="Q31" s="3">
        <v>-80</v>
      </c>
      <c r="R31" s="8">
        <v>93700</v>
      </c>
      <c r="S31" s="8"/>
      <c r="T31" s="13">
        <f>Table2[[#This Row],[Spikein_load_estimate_cells_p_uL]]*1000</f>
        <v>93700000</v>
      </c>
      <c r="U31" s="13"/>
    </row>
    <row r="32" spans="1:21" x14ac:dyDescent="0.2">
      <c r="A32" s="2">
        <v>414</v>
      </c>
      <c r="B32" s="3" t="s">
        <v>61</v>
      </c>
      <c r="C32" s="3" t="s">
        <v>61</v>
      </c>
      <c r="D32" s="3" t="s">
        <v>8</v>
      </c>
      <c r="E32" s="3">
        <v>1</v>
      </c>
      <c r="F32" s="3">
        <v>10</v>
      </c>
      <c r="G32" s="3">
        <f>Table2[[#This Row],[Prep_dilution_factor]]*Table2[[#This Row],[Aliquot_dilution_factor]]</f>
        <v>10</v>
      </c>
      <c r="H32" s="3">
        <v>3</v>
      </c>
      <c r="I32" s="9" t="s">
        <v>21</v>
      </c>
      <c r="J32" s="9" t="s">
        <v>21</v>
      </c>
      <c r="K32" s="4">
        <v>44811</v>
      </c>
      <c r="L32" s="5">
        <v>0.39930555555555558</v>
      </c>
      <c r="M32" s="9" t="s">
        <v>21</v>
      </c>
      <c r="N32" s="9" t="s">
        <v>21</v>
      </c>
      <c r="O32" s="9" t="s">
        <v>21</v>
      </c>
      <c r="P32" s="3"/>
      <c r="Q32" s="3">
        <v>-80</v>
      </c>
      <c r="R32" s="8">
        <v>146000</v>
      </c>
      <c r="S32" s="8"/>
      <c r="T32" s="13">
        <f>Table2[[#This Row],[Spikein_load_estimate_cells_p_uL]]*1000</f>
        <v>146000000</v>
      </c>
      <c r="U32" s="13"/>
    </row>
    <row r="33" spans="1:21" x14ac:dyDescent="0.2">
      <c r="A33" s="2">
        <v>522</v>
      </c>
      <c r="B33" s="3" t="s">
        <v>61</v>
      </c>
      <c r="C33" s="3" t="s">
        <v>61</v>
      </c>
      <c r="D33" s="3" t="s">
        <v>8</v>
      </c>
      <c r="E33" s="3">
        <v>1</v>
      </c>
      <c r="F33" s="3">
        <v>10</v>
      </c>
      <c r="G33" s="3">
        <f>Table2[[#This Row],[Prep_dilution_factor]]*Table2[[#This Row],[Aliquot_dilution_factor]]</f>
        <v>10</v>
      </c>
      <c r="H33" s="3">
        <v>10</v>
      </c>
      <c r="I33" s="10" t="s">
        <v>21</v>
      </c>
      <c r="J33" s="10" t="s">
        <v>21</v>
      </c>
      <c r="K33" s="4">
        <v>44829</v>
      </c>
      <c r="L33" s="5">
        <v>0.50347222222222221</v>
      </c>
      <c r="M33" s="10" t="s">
        <v>21</v>
      </c>
      <c r="N33" s="10" t="s">
        <v>21</v>
      </c>
      <c r="O33" s="10" t="s">
        <v>21</v>
      </c>
      <c r="P33" s="3"/>
      <c r="Q33" s="3">
        <v>-80</v>
      </c>
      <c r="R33" s="8">
        <v>182000</v>
      </c>
      <c r="S33" s="8"/>
      <c r="T33" s="13">
        <f>Table2[[#This Row],[Spikein_load_estimate_cells_p_uL]]*1000</f>
        <v>182000000</v>
      </c>
      <c r="U33" s="13"/>
    </row>
    <row r="34" spans="1:21" x14ac:dyDescent="0.2">
      <c r="A34" s="2">
        <v>521</v>
      </c>
      <c r="B34" s="3" t="s">
        <v>61</v>
      </c>
      <c r="C34" s="3" t="s">
        <v>61</v>
      </c>
      <c r="D34" s="3" t="s">
        <v>8</v>
      </c>
      <c r="E34" s="3">
        <v>1</v>
      </c>
      <c r="F34" s="3">
        <v>10</v>
      </c>
      <c r="G34" s="3">
        <f>Table2[[#This Row],[Prep_dilution_factor]]*Table2[[#This Row],[Aliquot_dilution_factor]]</f>
        <v>10</v>
      </c>
      <c r="H34" s="3">
        <v>10</v>
      </c>
      <c r="I34" s="10" t="s">
        <v>21</v>
      </c>
      <c r="J34" s="10" t="s">
        <v>21</v>
      </c>
      <c r="K34" s="4">
        <v>44828</v>
      </c>
      <c r="L34" s="5">
        <v>0.52083333333333337</v>
      </c>
      <c r="M34" s="10" t="s">
        <v>21</v>
      </c>
      <c r="N34" s="10" t="s">
        <v>21</v>
      </c>
      <c r="O34" s="10" t="s">
        <v>21</v>
      </c>
      <c r="P34" s="3"/>
      <c r="Q34" s="3">
        <v>-80</v>
      </c>
      <c r="R34" s="8">
        <v>185000</v>
      </c>
      <c r="S34" s="8"/>
      <c r="T34" s="13">
        <f>Table2[[#This Row],[Spikein_load_estimate_cells_p_uL]]*1000</f>
        <v>185000000</v>
      </c>
      <c r="U34" s="13"/>
    </row>
    <row r="35" spans="1:21" x14ac:dyDescent="0.2">
      <c r="A35" s="2">
        <v>443</v>
      </c>
      <c r="B35" s="3" t="s">
        <v>61</v>
      </c>
      <c r="C35" s="3" t="s">
        <v>61</v>
      </c>
      <c r="D35" s="3" t="s">
        <v>8</v>
      </c>
      <c r="E35" s="3">
        <v>1</v>
      </c>
      <c r="F35" s="3">
        <v>10</v>
      </c>
      <c r="G35" s="3">
        <f>Table2[[#This Row],[Prep_dilution_factor]]*Table2[[#This Row],[Aliquot_dilution_factor]]</f>
        <v>10</v>
      </c>
      <c r="H35" s="3">
        <v>5</v>
      </c>
      <c r="I35" s="10" t="s">
        <v>21</v>
      </c>
      <c r="J35" s="10" t="s">
        <v>21</v>
      </c>
      <c r="K35" s="4">
        <v>44815</v>
      </c>
      <c r="L35" s="5">
        <v>0.45833333333333331</v>
      </c>
      <c r="M35" s="10" t="s">
        <v>21</v>
      </c>
      <c r="N35" s="10" t="s">
        <v>21</v>
      </c>
      <c r="O35" s="10" t="s">
        <v>21</v>
      </c>
      <c r="P35" s="3"/>
      <c r="Q35" s="3">
        <v>-80</v>
      </c>
      <c r="R35" s="8">
        <v>204000</v>
      </c>
      <c r="S35" s="8"/>
      <c r="T35" s="13">
        <f>Table2[[#This Row],[Spikein_load_estimate_cells_p_uL]]*1000</f>
        <v>204000000</v>
      </c>
      <c r="U35" s="13"/>
    </row>
    <row r="36" spans="1:21" x14ac:dyDescent="0.2">
      <c r="A36" s="2">
        <v>473</v>
      </c>
      <c r="B36" s="3" t="s">
        <v>61</v>
      </c>
      <c r="C36" s="3" t="s">
        <v>61</v>
      </c>
      <c r="D36" s="3" t="s">
        <v>8</v>
      </c>
      <c r="E36" s="3">
        <v>1</v>
      </c>
      <c r="F36" s="3">
        <v>10</v>
      </c>
      <c r="G36" s="3">
        <f>Table2[[#This Row],[Prep_dilution_factor]]*Table2[[#This Row],[Aliquot_dilution_factor]]</f>
        <v>10</v>
      </c>
      <c r="H36" s="3">
        <v>8</v>
      </c>
      <c r="I36" s="9" t="s">
        <v>21</v>
      </c>
      <c r="J36" s="9" t="s">
        <v>21</v>
      </c>
      <c r="K36" s="4">
        <v>44826</v>
      </c>
      <c r="L36" s="5">
        <v>0.3923611111111111</v>
      </c>
      <c r="M36" s="9" t="s">
        <v>21</v>
      </c>
      <c r="N36" s="9" t="s">
        <v>21</v>
      </c>
      <c r="O36" s="9" t="s">
        <v>21</v>
      </c>
      <c r="P36" s="3"/>
      <c r="Q36" s="3">
        <v>-80</v>
      </c>
      <c r="R36" s="8">
        <v>458000</v>
      </c>
      <c r="S36" s="8"/>
      <c r="T36" s="13">
        <f>Table2[[#This Row],[Spikein_load_estimate_cells_p_uL]]*1000</f>
        <v>458000000</v>
      </c>
      <c r="U36" s="13"/>
    </row>
    <row r="37" spans="1:21" x14ac:dyDescent="0.2">
      <c r="A37" s="2">
        <v>444</v>
      </c>
      <c r="B37" s="3" t="s">
        <v>61</v>
      </c>
      <c r="C37" s="3" t="s">
        <v>61</v>
      </c>
      <c r="D37" s="3" t="s">
        <v>8</v>
      </c>
      <c r="E37" s="3">
        <v>1</v>
      </c>
      <c r="F37" s="3">
        <v>10</v>
      </c>
      <c r="G37" s="3">
        <f>Table2[[#This Row],[Prep_dilution_factor]]*Table2[[#This Row],[Aliquot_dilution_factor]]</f>
        <v>10</v>
      </c>
      <c r="H37" s="3">
        <v>5</v>
      </c>
      <c r="I37" s="10" t="s">
        <v>21</v>
      </c>
      <c r="J37" s="10" t="s">
        <v>21</v>
      </c>
      <c r="K37" s="4">
        <v>44816</v>
      </c>
      <c r="L37" s="5">
        <v>0.38541666666666669</v>
      </c>
      <c r="M37" s="10" t="s">
        <v>21</v>
      </c>
      <c r="N37" s="10" t="s">
        <v>21</v>
      </c>
      <c r="O37" s="10" t="s">
        <v>21</v>
      </c>
      <c r="P37" s="3"/>
      <c r="Q37" s="3">
        <v>-80</v>
      </c>
      <c r="R37" s="8">
        <v>733000</v>
      </c>
      <c r="S37" s="8"/>
      <c r="T37" s="13">
        <f>Table2[[#This Row],[Spikein_load_estimate_cells_p_uL]]*1000</f>
        <v>733000000</v>
      </c>
      <c r="U37" s="13"/>
    </row>
    <row r="38" spans="1:21" x14ac:dyDescent="0.2">
      <c r="A38" s="2">
        <v>422</v>
      </c>
      <c r="B38" s="3" t="s">
        <v>62</v>
      </c>
      <c r="C38" s="3" t="s">
        <v>62</v>
      </c>
      <c r="D38" s="3" t="s">
        <v>8</v>
      </c>
      <c r="E38" s="3">
        <f>(107*4)/107</f>
        <v>4</v>
      </c>
      <c r="F38" s="3">
        <v>10</v>
      </c>
      <c r="G38" s="3">
        <f>Table2[[#This Row],[Prep_dilution_factor]]*Table2[[#This Row],[Aliquot_dilution_factor]]</f>
        <v>40</v>
      </c>
      <c r="H38" s="3">
        <v>3</v>
      </c>
      <c r="I38" s="9" t="s">
        <v>21</v>
      </c>
      <c r="J38" s="9" t="s">
        <v>21</v>
      </c>
      <c r="K38" s="4">
        <v>44813</v>
      </c>
      <c r="L38" s="5">
        <v>0.27083333333333331</v>
      </c>
      <c r="M38" s="9" t="s">
        <v>21</v>
      </c>
      <c r="N38" s="9" t="s">
        <v>21</v>
      </c>
      <c r="O38" s="9" t="s">
        <v>21</v>
      </c>
      <c r="P38" s="3"/>
      <c r="Q38" s="3">
        <v>-80</v>
      </c>
      <c r="R38" s="8">
        <v>1420000</v>
      </c>
      <c r="S38" s="8"/>
      <c r="T38" s="13">
        <f>Table2[[#This Row],[Spikein_load_estimate_cells_p_uL]]*1000</f>
        <v>1420000000</v>
      </c>
      <c r="U38" s="13"/>
    </row>
    <row r="39" spans="1:21" x14ac:dyDescent="0.2">
      <c r="A39" s="2">
        <v>523</v>
      </c>
      <c r="B39" s="3" t="s">
        <v>62</v>
      </c>
      <c r="C39" s="3" t="s">
        <v>62</v>
      </c>
      <c r="D39" s="3" t="s">
        <v>8</v>
      </c>
      <c r="E39" s="3">
        <f>(90*2)/90</f>
        <v>2</v>
      </c>
      <c r="F39" s="3">
        <v>10</v>
      </c>
      <c r="G39" s="3">
        <f>Table2[[#This Row],[Prep_dilution_factor]]*Table2[[#This Row],[Aliquot_dilution_factor]]</f>
        <v>20</v>
      </c>
      <c r="H39" s="3">
        <v>10</v>
      </c>
      <c r="I39" s="10" t="s">
        <v>21</v>
      </c>
      <c r="J39" s="10" t="s">
        <v>21</v>
      </c>
      <c r="K39" s="4">
        <v>44828</v>
      </c>
      <c r="L39" s="5">
        <v>0.45833333333333331</v>
      </c>
      <c r="M39" s="10" t="s">
        <v>21</v>
      </c>
      <c r="N39" s="10" t="s">
        <v>21</v>
      </c>
      <c r="O39" s="10" t="s">
        <v>21</v>
      </c>
      <c r="P39" s="3"/>
      <c r="Q39" s="3">
        <v>-80</v>
      </c>
      <c r="R39" s="8">
        <v>5360000</v>
      </c>
      <c r="S39" s="8"/>
      <c r="T39" s="13">
        <f>Table2[[#This Row],[Spikein_load_estimate_cells_p_uL]]*1000</f>
        <v>5360000000</v>
      </c>
      <c r="U39" s="13"/>
    </row>
    <row r="40" spans="1:21" x14ac:dyDescent="0.2">
      <c r="A40" s="2">
        <v>461</v>
      </c>
      <c r="B40" s="3" t="s">
        <v>62</v>
      </c>
      <c r="C40" s="3" t="s">
        <v>62</v>
      </c>
      <c r="D40" s="3" t="s">
        <v>8</v>
      </c>
      <c r="E40" s="3">
        <f>(318*3)/318</f>
        <v>3</v>
      </c>
      <c r="F40" s="3">
        <v>10</v>
      </c>
      <c r="G40" s="3">
        <f>Table2[[#This Row],[Prep_dilution_factor]]*Table2[[#This Row],[Aliquot_dilution_factor]]</f>
        <v>30</v>
      </c>
      <c r="H40" s="3">
        <v>4</v>
      </c>
      <c r="I40" s="10" t="s">
        <v>21</v>
      </c>
      <c r="J40" s="10" t="s">
        <v>21</v>
      </c>
      <c r="K40" s="4">
        <v>44819</v>
      </c>
      <c r="L40" s="5">
        <v>0.35069444444444442</v>
      </c>
      <c r="M40" s="10" t="s">
        <v>21</v>
      </c>
      <c r="N40" s="10" t="s">
        <v>21</v>
      </c>
      <c r="O40" s="10" t="s">
        <v>21</v>
      </c>
      <c r="P40" s="3"/>
      <c r="Q40" s="3">
        <v>-80</v>
      </c>
      <c r="R40" s="8">
        <v>8650000</v>
      </c>
      <c r="S40" s="8"/>
      <c r="T40" s="13">
        <f>Table2[[#This Row],[Spikein_load_estimate_cells_p_uL]]*1000</f>
        <v>8650000000</v>
      </c>
      <c r="U40" s="13"/>
    </row>
    <row r="41" spans="1:21" x14ac:dyDescent="0.2">
      <c r="A41" s="2">
        <v>524</v>
      </c>
      <c r="B41" s="3" t="s">
        <v>62</v>
      </c>
      <c r="C41" s="3" t="s">
        <v>62</v>
      </c>
      <c r="D41" s="3" t="s">
        <v>8</v>
      </c>
      <c r="E41" s="3">
        <f>(83*2)/83</f>
        <v>2</v>
      </c>
      <c r="F41" s="3">
        <v>10</v>
      </c>
      <c r="G41" s="3">
        <f>Table2[[#This Row],[Prep_dilution_factor]]*Table2[[#This Row],[Aliquot_dilution_factor]]</f>
        <v>20</v>
      </c>
      <c r="H41" s="3">
        <v>10</v>
      </c>
      <c r="I41" s="10" t="s">
        <v>21</v>
      </c>
      <c r="J41" s="10" t="s">
        <v>21</v>
      </c>
      <c r="K41" s="4">
        <v>44830</v>
      </c>
      <c r="L41" s="5">
        <v>0.3125</v>
      </c>
      <c r="M41" s="10" t="s">
        <v>21</v>
      </c>
      <c r="N41" s="10" t="s">
        <v>21</v>
      </c>
      <c r="O41" s="10" t="s">
        <v>21</v>
      </c>
      <c r="P41" s="3"/>
      <c r="Q41" s="3">
        <v>-80</v>
      </c>
      <c r="R41" s="8">
        <v>15200000</v>
      </c>
      <c r="S41" s="8"/>
      <c r="T41" s="13">
        <f>Table2[[#This Row],[Spikein_load_estimate_cells_p_uL]]*1000</f>
        <v>15200000000</v>
      </c>
      <c r="U41" s="13"/>
    </row>
    <row r="42" spans="1:21" x14ac:dyDescent="0.2">
      <c r="A42" s="2">
        <v>405</v>
      </c>
      <c r="B42" s="3" t="s">
        <v>62</v>
      </c>
      <c r="C42" s="3" t="s">
        <v>62</v>
      </c>
      <c r="D42" s="3" t="s">
        <v>8</v>
      </c>
      <c r="E42" s="3">
        <f>(146*3)/146</f>
        <v>3</v>
      </c>
      <c r="F42" s="3">
        <v>10</v>
      </c>
      <c r="G42" s="3">
        <f>Table2[[#This Row],[Prep_dilution_factor]]*Table2[[#This Row],[Aliquot_dilution_factor]]</f>
        <v>30</v>
      </c>
      <c r="H42" s="3">
        <v>2</v>
      </c>
      <c r="I42" s="9" t="s">
        <v>21</v>
      </c>
      <c r="J42" s="9" t="s">
        <v>21</v>
      </c>
      <c r="K42" s="4">
        <v>44812</v>
      </c>
      <c r="L42" s="5">
        <v>0.39583333333333331</v>
      </c>
      <c r="M42" s="9" t="s">
        <v>21</v>
      </c>
      <c r="N42" s="9" t="s">
        <v>21</v>
      </c>
      <c r="O42" s="9" t="s">
        <v>21</v>
      </c>
      <c r="P42" s="3"/>
      <c r="Q42" s="3">
        <v>-80</v>
      </c>
      <c r="R42" s="8">
        <v>16100000</v>
      </c>
      <c r="S42" s="8"/>
      <c r="T42" s="13">
        <f>Table2[[#This Row],[Spikein_load_estimate_cells_p_uL]]*1000</f>
        <v>16100000000</v>
      </c>
      <c r="U42" s="13"/>
    </row>
    <row r="43" spans="1:21" x14ac:dyDescent="0.2">
      <c r="A43" s="2">
        <v>413</v>
      </c>
      <c r="B43" s="3" t="s">
        <v>62</v>
      </c>
      <c r="C43" s="3" t="s">
        <v>62</v>
      </c>
      <c r="D43" s="3" t="s">
        <v>8</v>
      </c>
      <c r="E43" s="3">
        <f>(64*3)/64</f>
        <v>3</v>
      </c>
      <c r="F43" s="3">
        <v>10</v>
      </c>
      <c r="G43" s="3">
        <f>Table2[[#This Row],[Prep_dilution_factor]]*Table2[[#This Row],[Aliquot_dilution_factor]]</f>
        <v>30</v>
      </c>
      <c r="H43" s="3">
        <v>3</v>
      </c>
      <c r="I43" s="9" t="s">
        <v>21</v>
      </c>
      <c r="J43" s="9" t="s">
        <v>21</v>
      </c>
      <c r="K43" s="4">
        <v>44811</v>
      </c>
      <c r="L43" s="5">
        <v>0.29166666666666669</v>
      </c>
      <c r="M43" s="9" t="s">
        <v>21</v>
      </c>
      <c r="N43" s="9" t="s">
        <v>21</v>
      </c>
      <c r="O43" s="9" t="s">
        <v>21</v>
      </c>
      <c r="P43" s="3"/>
      <c r="Q43" s="3">
        <v>-80</v>
      </c>
      <c r="R43" s="8">
        <v>20300000</v>
      </c>
      <c r="S43" s="8"/>
      <c r="T43" s="13">
        <f>Table2[[#This Row],[Spikein_load_estimate_cells_p_uL]]*1000</f>
        <v>20300000000</v>
      </c>
      <c r="U43" s="13"/>
    </row>
    <row r="44" spans="1:21" x14ac:dyDescent="0.2">
      <c r="A44" s="2">
        <v>430</v>
      </c>
      <c r="B44" s="3" t="s">
        <v>62</v>
      </c>
      <c r="C44" s="3" t="s">
        <v>62</v>
      </c>
      <c r="D44" s="3" t="s">
        <v>8</v>
      </c>
      <c r="E44" s="3">
        <f>(250*3)/250</f>
        <v>3</v>
      </c>
      <c r="F44" s="3">
        <v>10</v>
      </c>
      <c r="G44" s="3">
        <f>Table2[[#This Row],[Prep_dilution_factor]]*Table2[[#This Row],[Aliquot_dilution_factor]]</f>
        <v>30</v>
      </c>
      <c r="H44" s="3">
        <v>6</v>
      </c>
      <c r="I44" s="9" t="s">
        <v>21</v>
      </c>
      <c r="J44" s="9" t="s">
        <v>21</v>
      </c>
      <c r="K44" s="4">
        <v>44817</v>
      </c>
      <c r="L44" s="5">
        <v>0.25694444444444448</v>
      </c>
      <c r="M44" s="9" t="s">
        <v>21</v>
      </c>
      <c r="N44" s="9" t="s">
        <v>21</v>
      </c>
      <c r="O44" s="9" t="s">
        <v>21</v>
      </c>
      <c r="P44" s="3"/>
      <c r="Q44" s="3">
        <v>-80</v>
      </c>
      <c r="R44" s="8">
        <v>25000000</v>
      </c>
      <c r="S44" s="8"/>
      <c r="T44" s="13">
        <f>Table2[[#This Row],[Spikein_load_estimate_cells_p_uL]]*1000</f>
        <v>25000000000</v>
      </c>
      <c r="U44" s="13"/>
    </row>
    <row r="45" spans="1:21" x14ac:dyDescent="0.2">
      <c r="A45" s="2">
        <v>429</v>
      </c>
      <c r="B45" s="3" t="s">
        <v>62</v>
      </c>
      <c r="C45" s="3" t="s">
        <v>62</v>
      </c>
      <c r="D45" s="3" t="s">
        <v>8</v>
      </c>
      <c r="E45" s="3">
        <f>(150*4)/150</f>
        <v>4</v>
      </c>
      <c r="F45" s="3">
        <v>10</v>
      </c>
      <c r="G45" s="3">
        <f>Table2[[#This Row],[Prep_dilution_factor]]*Table2[[#This Row],[Aliquot_dilution_factor]]</f>
        <v>40</v>
      </c>
      <c r="H45" s="3">
        <v>6</v>
      </c>
      <c r="I45" s="9" t="s">
        <v>21</v>
      </c>
      <c r="J45" s="9" t="s">
        <v>21</v>
      </c>
      <c r="K45" s="4">
        <v>44815</v>
      </c>
      <c r="L45" s="5">
        <v>0.33333333333333331</v>
      </c>
      <c r="M45" s="9" t="s">
        <v>21</v>
      </c>
      <c r="N45" s="9" t="s">
        <v>21</v>
      </c>
      <c r="O45" s="9" t="s">
        <v>21</v>
      </c>
      <c r="P45" s="3"/>
      <c r="Q45" s="3">
        <v>-80</v>
      </c>
      <c r="R45" s="8">
        <v>25900000</v>
      </c>
      <c r="S45" s="8"/>
      <c r="T45" s="13">
        <f>Table2[[#This Row],[Spikein_load_estimate_cells_p_uL]]*1000</f>
        <v>25900000000</v>
      </c>
      <c r="U45" s="13"/>
    </row>
    <row r="46" spans="1:21" x14ac:dyDescent="0.2">
      <c r="A46" s="2">
        <v>400</v>
      </c>
      <c r="B46" s="3" t="s">
        <v>62</v>
      </c>
      <c r="C46" s="3" t="s">
        <v>62</v>
      </c>
      <c r="D46" s="3" t="s">
        <v>8</v>
      </c>
      <c r="E46" s="3">
        <f>(96*3)/96</f>
        <v>3</v>
      </c>
      <c r="F46" s="3">
        <v>10</v>
      </c>
      <c r="G46" s="3">
        <f>Table2[[#This Row],[Prep_dilution_factor]]*Table2[[#This Row],[Aliquot_dilution_factor]]</f>
        <v>30</v>
      </c>
      <c r="H46" s="3">
        <v>2</v>
      </c>
      <c r="I46" s="9" t="s">
        <v>21</v>
      </c>
      <c r="J46" s="9" t="s">
        <v>21</v>
      </c>
      <c r="K46" s="4">
        <v>44810</v>
      </c>
      <c r="L46" s="5">
        <v>0.58333333333333337</v>
      </c>
      <c r="M46" s="9" t="s">
        <v>21</v>
      </c>
      <c r="N46" s="9" t="s">
        <v>21</v>
      </c>
      <c r="O46" s="9" t="s">
        <v>21</v>
      </c>
      <c r="P46" s="3"/>
      <c r="Q46" s="3">
        <v>-80</v>
      </c>
      <c r="R46" s="8">
        <v>27400000</v>
      </c>
      <c r="S46" s="8"/>
      <c r="T46" s="13">
        <f>Table2[[#This Row],[Spikein_load_estimate_cells_p_uL]]*1000</f>
        <v>27400000000</v>
      </c>
      <c r="U46" s="13"/>
    </row>
    <row r="47" spans="1:21" x14ac:dyDescent="0.2">
      <c r="A47" s="2">
        <v>446</v>
      </c>
      <c r="B47" s="3" t="s">
        <v>62</v>
      </c>
      <c r="C47" s="3" t="s">
        <v>62</v>
      </c>
      <c r="D47" s="3" t="s">
        <v>8</v>
      </c>
      <c r="E47" s="3">
        <f>(177*4)/177</f>
        <v>4</v>
      </c>
      <c r="F47" s="3">
        <v>10</v>
      </c>
      <c r="G47" s="3">
        <f>Table2[[#This Row],[Prep_dilution_factor]]*Table2[[#This Row],[Aliquot_dilution_factor]]</f>
        <v>40</v>
      </c>
      <c r="H47" s="3">
        <v>5</v>
      </c>
      <c r="I47" s="10" t="s">
        <v>21</v>
      </c>
      <c r="J47" s="10" t="s">
        <v>21</v>
      </c>
      <c r="K47" s="4">
        <v>44817</v>
      </c>
      <c r="L47" s="5">
        <v>0.39583333333333331</v>
      </c>
      <c r="M47" s="10" t="s">
        <v>21</v>
      </c>
      <c r="N47" s="10" t="s">
        <v>21</v>
      </c>
      <c r="O47" s="10" t="s">
        <v>21</v>
      </c>
      <c r="P47" s="3"/>
      <c r="Q47" s="3">
        <v>-80</v>
      </c>
      <c r="R47" s="8">
        <v>33300000</v>
      </c>
      <c r="S47" s="8"/>
      <c r="T47" s="13">
        <f>Table2[[#This Row],[Spikein_load_estimate_cells_p_uL]]*1000</f>
        <v>33300000000</v>
      </c>
      <c r="U47" s="13"/>
    </row>
    <row r="48" spans="1:21" x14ac:dyDescent="0.2">
      <c r="A48" s="2">
        <v>475</v>
      </c>
      <c r="B48" s="3" t="s">
        <v>62</v>
      </c>
      <c r="C48" s="3" t="s">
        <v>62</v>
      </c>
      <c r="D48" s="3" t="s">
        <v>8</v>
      </c>
      <c r="E48" s="3">
        <f>(263*3)/263</f>
        <v>3</v>
      </c>
      <c r="F48" s="3">
        <v>10</v>
      </c>
      <c r="G48" s="3">
        <f>Table2[[#This Row],[Prep_dilution_factor]]*Table2[[#This Row],[Aliquot_dilution_factor]]</f>
        <v>30</v>
      </c>
      <c r="H48" s="3">
        <v>8</v>
      </c>
      <c r="I48" s="9" t="s">
        <v>21</v>
      </c>
      <c r="J48" s="9" t="s">
        <v>21</v>
      </c>
      <c r="K48" s="4">
        <v>44827</v>
      </c>
      <c r="L48" s="5">
        <v>0.3125</v>
      </c>
      <c r="M48" s="9" t="s">
        <v>21</v>
      </c>
      <c r="N48" s="9" t="s">
        <v>21</v>
      </c>
      <c r="O48" s="9" t="s">
        <v>21</v>
      </c>
      <c r="P48" s="3"/>
      <c r="Q48" s="3">
        <v>-80</v>
      </c>
      <c r="R48" s="8">
        <v>33300000</v>
      </c>
      <c r="S48" s="8"/>
      <c r="T48" s="13">
        <f>Table2[[#This Row],[Spikein_load_estimate_cells_p_uL]]*1000</f>
        <v>33300000000</v>
      </c>
      <c r="U48" s="13"/>
    </row>
    <row r="49" spans="1:21" x14ac:dyDescent="0.2">
      <c r="A49" s="2">
        <v>445</v>
      </c>
      <c r="B49" s="3" t="s">
        <v>62</v>
      </c>
      <c r="C49" s="3" t="s">
        <v>62</v>
      </c>
      <c r="D49" s="3" t="s">
        <v>8</v>
      </c>
      <c r="E49" s="3">
        <f>(150*4)/150</f>
        <v>4</v>
      </c>
      <c r="F49" s="3">
        <v>10</v>
      </c>
      <c r="G49" s="3">
        <f>Table2[[#This Row],[Prep_dilution_factor]]*Table2[[#This Row],[Aliquot_dilution_factor]]</f>
        <v>40</v>
      </c>
      <c r="H49" s="3">
        <v>5</v>
      </c>
      <c r="I49" s="10" t="s">
        <v>21</v>
      </c>
      <c r="J49" s="10" t="s">
        <v>21</v>
      </c>
      <c r="K49" s="4">
        <v>44815</v>
      </c>
      <c r="L49" s="5">
        <v>0.66666666666666663</v>
      </c>
      <c r="M49" s="10" t="s">
        <v>21</v>
      </c>
      <c r="N49" s="10" t="s">
        <v>21</v>
      </c>
      <c r="O49" s="10" t="s">
        <v>21</v>
      </c>
      <c r="P49" s="3"/>
      <c r="Q49" s="3">
        <v>-80</v>
      </c>
      <c r="R49" s="8">
        <v>34700000</v>
      </c>
      <c r="S49" s="8"/>
      <c r="T49" s="13">
        <f>Table2[[#This Row],[Spikein_load_estimate_cells_p_uL]]*1000</f>
        <v>34700000000</v>
      </c>
      <c r="U49" s="13"/>
    </row>
    <row r="50" spans="1:21" x14ac:dyDescent="0.2">
      <c r="A50" s="2">
        <v>460</v>
      </c>
      <c r="B50" s="3" t="s">
        <v>62</v>
      </c>
      <c r="C50" s="3" t="s">
        <v>62</v>
      </c>
      <c r="D50" s="3" t="s">
        <v>8</v>
      </c>
      <c r="E50" s="3">
        <f>(177*4)/177</f>
        <v>4</v>
      </c>
      <c r="F50" s="3">
        <v>10</v>
      </c>
      <c r="G50" s="3">
        <f>Table2[[#This Row],[Prep_dilution_factor]]*Table2[[#This Row],[Aliquot_dilution_factor]]</f>
        <v>40</v>
      </c>
      <c r="H50" s="3">
        <v>4</v>
      </c>
      <c r="I50" s="10" t="s">
        <v>21</v>
      </c>
      <c r="J50" s="10" t="s">
        <v>21</v>
      </c>
      <c r="K50" s="4">
        <v>44818</v>
      </c>
      <c r="L50" s="5">
        <v>0.35416666666666669</v>
      </c>
      <c r="M50" s="10" t="s">
        <v>21</v>
      </c>
      <c r="N50" s="10" t="s">
        <v>21</v>
      </c>
      <c r="O50" s="10" t="s">
        <v>21</v>
      </c>
      <c r="P50" s="3"/>
      <c r="Q50" s="3">
        <v>-80</v>
      </c>
      <c r="R50" s="8">
        <v>78100000</v>
      </c>
      <c r="S50" s="8"/>
      <c r="T50" s="13">
        <f>Table2[[#This Row],[Spikein_load_estimate_cells_p_uL]]*1000</f>
        <v>78100000000</v>
      </c>
      <c r="U50" s="13"/>
    </row>
    <row r="51" spans="1:21" x14ac:dyDescent="0.2">
      <c r="A51" s="2">
        <v>474</v>
      </c>
      <c r="B51" s="3" t="s">
        <v>62</v>
      </c>
      <c r="C51" s="3" t="s">
        <v>62</v>
      </c>
      <c r="D51" s="3" t="s">
        <v>8</v>
      </c>
      <c r="E51" s="3">
        <f>(173*3)/173</f>
        <v>3</v>
      </c>
      <c r="F51" s="3">
        <v>10</v>
      </c>
      <c r="G51" s="3">
        <f>Table2[[#This Row],[Prep_dilution_factor]]*Table2[[#This Row],[Aliquot_dilution_factor]]</f>
        <v>30</v>
      </c>
      <c r="H51" s="3">
        <v>8</v>
      </c>
      <c r="I51" s="9" t="s">
        <v>21</v>
      </c>
      <c r="J51" s="9" t="s">
        <v>21</v>
      </c>
      <c r="K51" s="4">
        <v>44825</v>
      </c>
      <c r="L51" s="5">
        <v>0.60416666666666663</v>
      </c>
      <c r="M51" s="9" t="s">
        <v>21</v>
      </c>
      <c r="N51" s="9" t="s">
        <v>21</v>
      </c>
      <c r="O51" s="9" t="s">
        <v>21</v>
      </c>
      <c r="P51" s="3"/>
      <c r="Q51" s="3">
        <v>-80</v>
      </c>
      <c r="R51" s="8">
        <v>389000000</v>
      </c>
      <c r="S51" s="8"/>
      <c r="T51" s="13">
        <f>Table2[[#This Row],[Spikein_load_estimate_cells_p_uL]]*1000</f>
        <v>389000000000</v>
      </c>
      <c r="U51" s="13"/>
    </row>
    <row r="52" spans="1:21" x14ac:dyDescent="0.2">
      <c r="A52" s="2">
        <v>491</v>
      </c>
      <c r="B52" s="9" t="s">
        <v>4</v>
      </c>
      <c r="C52" s="3" t="s">
        <v>63</v>
      </c>
      <c r="D52" s="3">
        <v>3.6</v>
      </c>
      <c r="E52" s="3">
        <v>1</v>
      </c>
      <c r="F52" s="3">
        <v>10</v>
      </c>
      <c r="G52" s="3">
        <f>Table2[[#This Row],[Prep_dilution_factor]]*Table2[[#This Row],[Aliquot_dilution_factor]]</f>
        <v>10</v>
      </c>
      <c r="H52" s="3">
        <v>9</v>
      </c>
      <c r="I52" s="4">
        <v>44825</v>
      </c>
      <c r="J52" s="5">
        <v>0.47430555555555554</v>
      </c>
      <c r="K52" s="4">
        <v>44826</v>
      </c>
      <c r="L52" s="5">
        <v>0.5</v>
      </c>
      <c r="M52" s="3" t="s">
        <v>22</v>
      </c>
      <c r="N52" s="3">
        <v>1</v>
      </c>
      <c r="O52" s="6">
        <f>(K52+L52)-(I52+J52)</f>
        <v>1.0256944444408873</v>
      </c>
      <c r="P52" s="3"/>
      <c r="Q52" s="3">
        <v>-80</v>
      </c>
      <c r="R52" s="8">
        <v>37900</v>
      </c>
      <c r="S52" s="8">
        <v>38000</v>
      </c>
      <c r="T52" s="13">
        <f>Table2[[#This Row],[Spikein_load_estimate_cells_p_uL]]*1000</f>
        <v>37900000</v>
      </c>
      <c r="U52" s="13">
        <f>Table2[[#This Row],[SLIP_imaging_estimate_cells_p_uL]]*1000</f>
        <v>38000000</v>
      </c>
    </row>
    <row r="53" spans="1:21" x14ac:dyDescent="0.2">
      <c r="A53" s="2">
        <v>527</v>
      </c>
      <c r="B53" s="9" t="s">
        <v>4</v>
      </c>
      <c r="C53" s="3" t="s">
        <v>63</v>
      </c>
      <c r="D53" s="3">
        <v>5.8</v>
      </c>
      <c r="E53" s="3">
        <v>1</v>
      </c>
      <c r="F53" s="3">
        <v>10</v>
      </c>
      <c r="G53" s="3">
        <f>Table2[[#This Row],[Prep_dilution_factor]]*Table2[[#This Row],[Aliquot_dilution_factor]]</f>
        <v>10</v>
      </c>
      <c r="H53" s="3">
        <v>10</v>
      </c>
      <c r="I53" s="4">
        <v>44828</v>
      </c>
      <c r="J53" s="5">
        <v>0.52083333333333337</v>
      </c>
      <c r="K53" s="4">
        <v>44829</v>
      </c>
      <c r="L53" s="5">
        <v>0.45833333333333331</v>
      </c>
      <c r="M53" s="3" t="s">
        <v>24</v>
      </c>
      <c r="N53" s="3">
        <v>1</v>
      </c>
      <c r="O53" s="6">
        <f>(K53+L53)-(I53+J53)</f>
        <v>0.9375</v>
      </c>
      <c r="P53" s="3"/>
      <c r="Q53" s="3">
        <v>-80</v>
      </c>
      <c r="R53" s="8">
        <v>265000</v>
      </c>
      <c r="S53" s="8">
        <v>250000</v>
      </c>
      <c r="T53" s="13">
        <f>Table2[[#This Row],[Spikein_load_estimate_cells_p_uL]]*1000</f>
        <v>265000000</v>
      </c>
      <c r="U53" s="13">
        <f>Table2[[#This Row],[SLIP_imaging_estimate_cells_p_uL]]*1000</f>
        <v>250000000</v>
      </c>
    </row>
    <row r="54" spans="1:21" x14ac:dyDescent="0.2">
      <c r="A54" s="2">
        <v>514</v>
      </c>
      <c r="B54" s="9" t="s">
        <v>4</v>
      </c>
      <c r="C54" s="3" t="s">
        <v>63</v>
      </c>
      <c r="D54" s="3">
        <v>4</v>
      </c>
      <c r="E54" s="3">
        <v>1</v>
      </c>
      <c r="F54" s="3">
        <v>10</v>
      </c>
      <c r="G54" s="3">
        <f>Table2[[#This Row],[Prep_dilution_factor]]*Table2[[#This Row],[Aliquot_dilution_factor]]</f>
        <v>10</v>
      </c>
      <c r="H54" s="3">
        <v>7</v>
      </c>
      <c r="I54" s="4">
        <v>44826</v>
      </c>
      <c r="J54" s="5">
        <v>0.45833333333333331</v>
      </c>
      <c r="K54" s="4">
        <v>44828</v>
      </c>
      <c r="L54" s="5">
        <v>0.47916666666666669</v>
      </c>
      <c r="M54" s="3" t="s">
        <v>23</v>
      </c>
      <c r="N54" s="3">
        <v>1</v>
      </c>
      <c r="O54" s="6">
        <f>(K54+L54)-(I54+J54)</f>
        <v>2.0208333333284827</v>
      </c>
      <c r="P54" s="3"/>
      <c r="Q54" s="3">
        <v>-80</v>
      </c>
      <c r="R54" s="8">
        <v>4460</v>
      </c>
      <c r="S54" s="8"/>
      <c r="T54" s="13">
        <f>Table2[[#This Row],[Spikein_load_estimate_cells_p_uL]]*1000</f>
        <v>4460000</v>
      </c>
      <c r="U54" s="13"/>
    </row>
    <row r="55" spans="1:21" x14ac:dyDescent="0.2">
      <c r="A55" s="2">
        <v>490</v>
      </c>
      <c r="B55" s="9" t="s">
        <v>4</v>
      </c>
      <c r="C55" s="3" t="s">
        <v>64</v>
      </c>
      <c r="D55" s="3">
        <v>1.7</v>
      </c>
      <c r="E55" s="3">
        <v>1</v>
      </c>
      <c r="F55" s="3">
        <v>10</v>
      </c>
      <c r="G55" s="3">
        <f>Table2[[#This Row],[Prep_dilution_factor]]*Table2[[#This Row],[Aliquot_dilution_factor]]</f>
        <v>10</v>
      </c>
      <c r="H55" s="3">
        <v>9</v>
      </c>
      <c r="I55" s="4">
        <v>44825</v>
      </c>
      <c r="J55" s="5">
        <v>0.47430555555555554</v>
      </c>
      <c r="K55" s="4">
        <v>44826</v>
      </c>
      <c r="L55" s="5">
        <v>0.5</v>
      </c>
      <c r="M55" s="3" t="s">
        <v>22</v>
      </c>
      <c r="N55" s="3">
        <v>1</v>
      </c>
      <c r="O55" s="6">
        <f>(K55+L55)-(I55+J55)</f>
        <v>1.0256944444408873</v>
      </c>
      <c r="P55" s="3"/>
      <c r="Q55" s="3">
        <v>-80</v>
      </c>
      <c r="R55" s="8">
        <v>1</v>
      </c>
      <c r="S55" s="8">
        <v>0</v>
      </c>
      <c r="T55" s="13">
        <f>Table2[[#This Row],[Spikein_load_estimate_cells_p_uL]]*1000</f>
        <v>1000</v>
      </c>
      <c r="U55" s="13">
        <f>Table2[[#This Row],[SLIP_imaging_estimate_cells_p_uL]]*1000</f>
        <v>0</v>
      </c>
    </row>
    <row r="56" spans="1:21" x14ac:dyDescent="0.2">
      <c r="A56" s="2">
        <v>525</v>
      </c>
      <c r="B56" s="9" t="s">
        <v>4</v>
      </c>
      <c r="C56" s="3" t="s">
        <v>64</v>
      </c>
      <c r="D56" s="3">
        <v>1.7</v>
      </c>
      <c r="E56" s="3">
        <v>1</v>
      </c>
      <c r="F56" s="3">
        <v>10</v>
      </c>
      <c r="G56" s="3">
        <f>Table2[[#This Row],[Prep_dilution_factor]]*Table2[[#This Row],[Aliquot_dilution_factor]]</f>
        <v>10</v>
      </c>
      <c r="H56" s="3">
        <v>10</v>
      </c>
      <c r="I56" s="4">
        <v>44828</v>
      </c>
      <c r="J56" s="5">
        <v>0.52083333333333337</v>
      </c>
      <c r="K56" s="4">
        <v>44829</v>
      </c>
      <c r="L56" s="5">
        <v>0.45833333333333331</v>
      </c>
      <c r="M56" s="3" t="s">
        <v>24</v>
      </c>
      <c r="N56" s="3">
        <v>1</v>
      </c>
      <c r="O56" s="6">
        <f>(K56+L56)-(I56+J56)</f>
        <v>0.9375</v>
      </c>
      <c r="P56" s="3"/>
      <c r="Q56" s="3">
        <v>-80</v>
      </c>
      <c r="R56" s="8">
        <v>29</v>
      </c>
      <c r="S56" s="8">
        <v>209</v>
      </c>
      <c r="T56" s="13">
        <f>Table2[[#This Row],[Spikein_load_estimate_cells_p_uL]]*1000</f>
        <v>29000</v>
      </c>
      <c r="U56" s="13">
        <f>Table2[[#This Row],[SLIP_imaging_estimate_cells_p_uL]]*1000</f>
        <v>209000</v>
      </c>
    </row>
    <row r="57" spans="1:21" x14ac:dyDescent="0.2">
      <c r="A57" s="2">
        <v>529</v>
      </c>
      <c r="B57" s="9" t="s">
        <v>4</v>
      </c>
      <c r="C57" s="3" t="s">
        <v>64</v>
      </c>
      <c r="D57" s="3">
        <v>2.4</v>
      </c>
      <c r="E57" s="3">
        <v>1</v>
      </c>
      <c r="F57" s="3">
        <v>10</v>
      </c>
      <c r="G57" s="3">
        <f>Table2[[#This Row],[Prep_dilution_factor]]*Table2[[#This Row],[Aliquot_dilution_factor]]</f>
        <v>10</v>
      </c>
      <c r="H57" s="3">
        <v>10</v>
      </c>
      <c r="I57" s="4">
        <v>44828</v>
      </c>
      <c r="J57" s="5">
        <v>0.52083333333333337</v>
      </c>
      <c r="K57" s="4">
        <v>44829</v>
      </c>
      <c r="L57" s="5">
        <v>0.45833333333333331</v>
      </c>
      <c r="M57" s="3" t="s">
        <v>29</v>
      </c>
      <c r="N57" s="3">
        <v>2</v>
      </c>
      <c r="O57" s="6">
        <f>(K57+L57)-(I57+J57)</f>
        <v>0.9375</v>
      </c>
      <c r="P57" s="3"/>
      <c r="Q57" s="3">
        <v>-80</v>
      </c>
      <c r="R57" s="8">
        <v>1610</v>
      </c>
      <c r="S57" s="8">
        <v>510000</v>
      </c>
      <c r="T57" s="13">
        <f>Table2[[#This Row],[Spikein_load_estimate_cells_p_uL]]*1000</f>
        <v>1610000</v>
      </c>
      <c r="U57" s="13">
        <f>Table2[[#This Row],[SLIP_imaging_estimate_cells_p_uL]]*1000</f>
        <v>510000000</v>
      </c>
    </row>
    <row r="58" spans="1:21" x14ac:dyDescent="0.2">
      <c r="A58" s="2">
        <v>447</v>
      </c>
      <c r="B58" s="9" t="s">
        <v>4</v>
      </c>
      <c r="C58" s="3" t="s">
        <v>64</v>
      </c>
      <c r="D58" s="3">
        <v>3.3</v>
      </c>
      <c r="E58" s="3">
        <v>1</v>
      </c>
      <c r="F58" s="3">
        <v>10</v>
      </c>
      <c r="G58" s="3">
        <f>Table2[[#This Row],[Prep_dilution_factor]]*Table2[[#This Row],[Aliquot_dilution_factor]]</f>
        <v>10</v>
      </c>
      <c r="H58" s="3">
        <v>5</v>
      </c>
      <c r="I58" s="4">
        <v>44815</v>
      </c>
      <c r="J58" s="5">
        <v>0.45833333333333331</v>
      </c>
      <c r="K58" s="4">
        <v>44817</v>
      </c>
      <c r="L58" s="5">
        <v>0.39583333333333331</v>
      </c>
      <c r="M58" s="3" t="s">
        <v>26</v>
      </c>
      <c r="N58" s="3">
        <v>1</v>
      </c>
      <c r="O58" s="6">
        <f>(K58+L58)-(I58+J58)</f>
        <v>1.9375</v>
      </c>
      <c r="P58" s="3"/>
      <c r="Q58" s="3">
        <v>-80</v>
      </c>
      <c r="R58" s="8">
        <v>4070000</v>
      </c>
      <c r="S58" s="8">
        <v>900000</v>
      </c>
      <c r="T58" s="13">
        <f>Table2[[#This Row],[Spikein_load_estimate_cells_p_uL]]*1000</f>
        <v>4070000000</v>
      </c>
      <c r="U58" s="13">
        <f>Table2[[#This Row],[SLIP_imaging_estimate_cells_p_uL]]*1000</f>
        <v>900000000</v>
      </c>
    </row>
    <row r="59" spans="1:21" x14ac:dyDescent="0.2">
      <c r="A59" s="2">
        <v>526</v>
      </c>
      <c r="B59" s="9" t="s">
        <v>4</v>
      </c>
      <c r="C59" s="3" t="s">
        <v>64</v>
      </c>
      <c r="D59" s="3">
        <v>2.4</v>
      </c>
      <c r="E59" s="3">
        <v>1</v>
      </c>
      <c r="F59" s="3">
        <v>10</v>
      </c>
      <c r="G59" s="3">
        <f>Table2[[#This Row],[Prep_dilution_factor]]*Table2[[#This Row],[Aliquot_dilution_factor]]</f>
        <v>10</v>
      </c>
      <c r="H59" s="3">
        <v>10</v>
      </c>
      <c r="I59" s="4">
        <v>44828</v>
      </c>
      <c r="J59" s="5">
        <v>0.52083333333333337</v>
      </c>
      <c r="K59" s="4">
        <v>44829</v>
      </c>
      <c r="L59" s="5">
        <v>0.45833333333333331</v>
      </c>
      <c r="M59" s="3" t="s">
        <v>24</v>
      </c>
      <c r="N59" s="3">
        <v>1</v>
      </c>
      <c r="O59" s="6">
        <f>(K59+L59)-(I59+J59)</f>
        <v>0.9375</v>
      </c>
      <c r="P59" s="3"/>
      <c r="Q59" s="3">
        <v>-80</v>
      </c>
      <c r="R59" s="8">
        <v>7</v>
      </c>
      <c r="S59" s="8"/>
      <c r="T59" s="13">
        <f>Table2[[#This Row],[Spikein_load_estimate_cells_p_uL]]*1000</f>
        <v>7000</v>
      </c>
      <c r="U59" s="13"/>
    </row>
    <row r="60" spans="1:21" x14ac:dyDescent="0.2">
      <c r="A60" s="2">
        <v>406</v>
      </c>
      <c r="B60" s="3" t="s">
        <v>4</v>
      </c>
      <c r="C60" s="3" t="s">
        <v>64</v>
      </c>
      <c r="D60" s="3">
        <v>1.3</v>
      </c>
      <c r="E60" s="3">
        <v>1</v>
      </c>
      <c r="F60" s="3">
        <v>10</v>
      </c>
      <c r="G60" s="3">
        <f>Table2[[#This Row],[Prep_dilution_factor]]*Table2[[#This Row],[Aliquot_dilution_factor]]</f>
        <v>10</v>
      </c>
      <c r="H60" s="3">
        <v>2</v>
      </c>
      <c r="I60" s="4">
        <v>44810</v>
      </c>
      <c r="J60" s="5">
        <v>0.44444444444444442</v>
      </c>
      <c r="K60" s="4">
        <v>44812</v>
      </c>
      <c r="L60" s="5">
        <v>0.39583333333333331</v>
      </c>
      <c r="M60" s="3" t="s">
        <v>25</v>
      </c>
      <c r="N60" s="3">
        <v>1</v>
      </c>
      <c r="O60" s="6">
        <f>(K60+L60)-(I60+J60)</f>
        <v>1.9513888888905058</v>
      </c>
      <c r="P60" s="3"/>
      <c r="Q60" s="3">
        <v>-80</v>
      </c>
      <c r="R60" s="8">
        <v>8</v>
      </c>
      <c r="S60" s="8"/>
      <c r="T60" s="13">
        <f>Table2[[#This Row],[Spikein_load_estimate_cells_p_uL]]*1000</f>
        <v>8000</v>
      </c>
      <c r="U60" s="13"/>
    </row>
    <row r="61" spans="1:21" x14ac:dyDescent="0.2">
      <c r="A61" s="2">
        <v>480</v>
      </c>
      <c r="B61" s="9" t="s">
        <v>4</v>
      </c>
      <c r="C61" s="3" t="s">
        <v>64</v>
      </c>
      <c r="D61" s="3">
        <v>1.2</v>
      </c>
      <c r="E61" s="3">
        <v>1</v>
      </c>
      <c r="F61" s="3">
        <v>10</v>
      </c>
      <c r="G61" s="3">
        <f>Table2[[#This Row],[Prep_dilution_factor]]*Table2[[#This Row],[Aliquot_dilution_factor]]</f>
        <v>10</v>
      </c>
      <c r="H61" s="3">
        <v>8</v>
      </c>
      <c r="I61" s="4">
        <v>44826</v>
      </c>
      <c r="J61" s="5">
        <v>0.3923611111111111</v>
      </c>
      <c r="K61" s="4">
        <v>44827</v>
      </c>
      <c r="L61" s="5">
        <v>0.63194444444444442</v>
      </c>
      <c r="M61" s="3" t="s">
        <v>27</v>
      </c>
      <c r="N61" s="3">
        <v>1</v>
      </c>
      <c r="O61" s="6">
        <f>(K61+L61)-(I61+J61)</f>
        <v>1.2395833333357587</v>
      </c>
      <c r="P61" s="3"/>
      <c r="Q61" s="3">
        <v>-80</v>
      </c>
      <c r="R61" s="3" t="s">
        <v>28</v>
      </c>
      <c r="S61" s="8"/>
      <c r="T61" s="13"/>
      <c r="U61" s="13"/>
    </row>
    <row r="62" spans="1:21" x14ac:dyDescent="0.2">
      <c r="A62" s="2">
        <v>528</v>
      </c>
      <c r="B62" s="9" t="s">
        <v>4</v>
      </c>
      <c r="C62" s="3" t="s">
        <v>64</v>
      </c>
      <c r="D62" s="3">
        <v>1.8</v>
      </c>
      <c r="E62" s="3">
        <v>1</v>
      </c>
      <c r="F62" s="3">
        <v>10</v>
      </c>
      <c r="G62" s="3">
        <f>Table2[[#This Row],[Prep_dilution_factor]]*Table2[[#This Row],[Aliquot_dilution_factor]]</f>
        <v>10</v>
      </c>
      <c r="H62" s="3">
        <v>10</v>
      </c>
      <c r="I62" s="4">
        <v>44828</v>
      </c>
      <c r="J62" s="5">
        <v>0.52083333333333337</v>
      </c>
      <c r="K62" s="4">
        <v>44829</v>
      </c>
      <c r="L62" s="5">
        <v>0.45833333333333331</v>
      </c>
      <c r="M62" s="3" t="s">
        <v>29</v>
      </c>
      <c r="N62" s="3">
        <v>2</v>
      </c>
      <c r="O62" s="6">
        <f>(K62+L62)-(I62+J62)</f>
        <v>0.9375</v>
      </c>
      <c r="P62" s="3"/>
      <c r="Q62" s="3">
        <v>-80</v>
      </c>
      <c r="R62" s="3" t="s">
        <v>28</v>
      </c>
      <c r="S62" s="8"/>
      <c r="T62" s="13"/>
      <c r="U62" s="13"/>
    </row>
    <row r="63" spans="1:21" x14ac:dyDescent="0.2">
      <c r="A63" s="2">
        <v>415</v>
      </c>
      <c r="B63" s="9" t="s">
        <v>4</v>
      </c>
      <c r="C63" s="3" t="s">
        <v>30</v>
      </c>
      <c r="D63" s="3">
        <v>4.5999999999999996</v>
      </c>
      <c r="E63" s="3">
        <v>1</v>
      </c>
      <c r="F63" s="3">
        <v>10</v>
      </c>
      <c r="G63" s="3">
        <f>Table2[[#This Row],[Prep_dilution_factor]]*Table2[[#This Row],[Aliquot_dilution_factor]]</f>
        <v>10</v>
      </c>
      <c r="H63" s="3">
        <v>3</v>
      </c>
      <c r="I63" s="4">
        <v>44811</v>
      </c>
      <c r="J63" s="5">
        <v>0.39930555555555558</v>
      </c>
      <c r="K63" s="4">
        <v>44812</v>
      </c>
      <c r="L63" s="5">
        <v>0.27083333333333331</v>
      </c>
      <c r="M63" s="3" t="s">
        <v>31</v>
      </c>
      <c r="N63" s="3">
        <v>1</v>
      </c>
      <c r="O63" s="6">
        <f>(K63+L63)-(I63+J63)</f>
        <v>0.87152777778101154</v>
      </c>
      <c r="P63" s="3"/>
      <c r="Q63" s="3">
        <v>-80</v>
      </c>
      <c r="R63" s="8">
        <v>254</v>
      </c>
      <c r="S63" s="8"/>
      <c r="T63" s="13">
        <f>Table2[[#This Row],[Spikein_load_estimate_cells_p_uL]]*1000</f>
        <v>254000</v>
      </c>
      <c r="U63" s="13"/>
    </row>
    <row r="64" spans="1:21" x14ac:dyDescent="0.2">
      <c r="A64" s="2">
        <v>462</v>
      </c>
      <c r="B64" s="9" t="s">
        <v>4</v>
      </c>
      <c r="C64" s="3" t="s">
        <v>30</v>
      </c>
      <c r="D64" s="3">
        <v>5.8</v>
      </c>
      <c r="E64" s="3">
        <v>1</v>
      </c>
      <c r="F64" s="3">
        <v>10</v>
      </c>
      <c r="G64" s="3">
        <f>Table2[[#This Row],[Prep_dilution_factor]]*Table2[[#This Row],[Aliquot_dilution_factor]]</f>
        <v>10</v>
      </c>
      <c r="H64" s="3">
        <v>4</v>
      </c>
      <c r="I64" s="4">
        <v>44817</v>
      </c>
      <c r="J64" s="5">
        <v>0.4201388888888889</v>
      </c>
      <c r="K64" s="4">
        <v>44819</v>
      </c>
      <c r="L64" s="5">
        <v>0.34722222222222227</v>
      </c>
      <c r="M64" s="3" t="s">
        <v>15</v>
      </c>
      <c r="N64" s="3">
        <v>1</v>
      </c>
      <c r="O64" s="6">
        <f>(K64+L64)-(I64+J64)</f>
        <v>1.9270833333284827</v>
      </c>
      <c r="P64" s="3"/>
      <c r="Q64" s="3">
        <v>-80</v>
      </c>
      <c r="R64" s="8">
        <v>1080</v>
      </c>
      <c r="S64" s="8"/>
      <c r="T64" s="13">
        <f>Table2[[#This Row],[Spikein_load_estimate_cells_p_uL]]*1000</f>
        <v>1080000</v>
      </c>
      <c r="U64" s="13"/>
    </row>
    <row r="65" spans="1:21" x14ac:dyDescent="0.2">
      <c r="A65" s="2">
        <v>418</v>
      </c>
      <c r="B65" s="9" t="s">
        <v>4</v>
      </c>
      <c r="C65" s="3" t="s">
        <v>30</v>
      </c>
      <c r="D65" s="3">
        <v>5.0999999999999996</v>
      </c>
      <c r="E65" s="3">
        <v>1</v>
      </c>
      <c r="F65" s="3">
        <v>10</v>
      </c>
      <c r="G65" s="3">
        <f>Table2[[#This Row],[Prep_dilution_factor]]*Table2[[#This Row],[Aliquot_dilution_factor]]</f>
        <v>10</v>
      </c>
      <c r="H65" s="3">
        <v>3</v>
      </c>
      <c r="I65" s="4">
        <v>44812</v>
      </c>
      <c r="J65" s="5">
        <v>0.4375</v>
      </c>
      <c r="K65" s="4">
        <v>44813</v>
      </c>
      <c r="L65" s="5">
        <v>0.27083333333333331</v>
      </c>
      <c r="M65" s="3" t="s">
        <v>32</v>
      </c>
      <c r="N65" s="3">
        <v>1</v>
      </c>
      <c r="O65" s="6">
        <f>(K65+L65)-(I65+J65)</f>
        <v>0.83333333333575865</v>
      </c>
      <c r="P65" s="3"/>
      <c r="Q65" s="3">
        <v>-80</v>
      </c>
      <c r="R65" s="8">
        <v>4000</v>
      </c>
      <c r="S65" s="8"/>
      <c r="T65" s="13">
        <f>Table2[[#This Row],[Spikein_load_estimate_cells_p_uL]]*1000</f>
        <v>4000000</v>
      </c>
      <c r="U65" s="13"/>
    </row>
    <row r="66" spans="1:21" x14ac:dyDescent="0.2">
      <c r="A66" s="2">
        <v>468</v>
      </c>
      <c r="B66" s="9" t="s">
        <v>4</v>
      </c>
      <c r="C66" s="3" t="s">
        <v>30</v>
      </c>
      <c r="D66" s="3">
        <v>5.0999999999999996</v>
      </c>
      <c r="E66" s="3">
        <v>1</v>
      </c>
      <c r="F66" s="3">
        <v>10</v>
      </c>
      <c r="G66" s="3">
        <f>Table2[[#This Row],[Prep_dilution_factor]]*Table2[[#This Row],[Aliquot_dilution_factor]]</f>
        <v>10</v>
      </c>
      <c r="H66" s="3">
        <v>4</v>
      </c>
      <c r="I66" s="4">
        <v>44818</v>
      </c>
      <c r="J66" s="5">
        <v>0.47222222222222227</v>
      </c>
      <c r="K66" s="4">
        <v>44819</v>
      </c>
      <c r="L66" s="5">
        <v>0.40277777777777773</v>
      </c>
      <c r="M66" s="3" t="s">
        <v>37</v>
      </c>
      <c r="N66" s="3">
        <v>2</v>
      </c>
      <c r="O66" s="6">
        <f>(K66+L66)-(I66+J66)</f>
        <v>0.93055555556202307</v>
      </c>
      <c r="P66" s="3"/>
      <c r="Q66" s="3">
        <v>-80</v>
      </c>
      <c r="R66" s="8">
        <v>14200</v>
      </c>
      <c r="S66" s="8"/>
      <c r="T66" s="13">
        <f>Table2[[#This Row],[Spikein_load_estimate_cells_p_uL]]*1000</f>
        <v>14200000</v>
      </c>
      <c r="U66" s="13"/>
    </row>
    <row r="67" spans="1:21" x14ac:dyDescent="0.2">
      <c r="A67" s="2">
        <v>482</v>
      </c>
      <c r="B67" s="9" t="s">
        <v>4</v>
      </c>
      <c r="C67" s="3" t="s">
        <v>30</v>
      </c>
      <c r="D67" s="3">
        <v>5.2</v>
      </c>
      <c r="E67" s="3">
        <v>1</v>
      </c>
      <c r="F67" s="3">
        <v>10</v>
      </c>
      <c r="G67" s="3">
        <f>Table2[[#This Row],[Prep_dilution_factor]]*Table2[[#This Row],[Aliquot_dilution_factor]]</f>
        <v>10</v>
      </c>
      <c r="H67" s="3">
        <v>8</v>
      </c>
      <c r="I67" s="4">
        <v>44826</v>
      </c>
      <c r="J67" s="5">
        <v>0.3923611111111111</v>
      </c>
      <c r="K67" s="4">
        <v>44828</v>
      </c>
      <c r="L67" s="5">
        <v>0.59722222222222221</v>
      </c>
      <c r="M67" s="3" t="s">
        <v>39</v>
      </c>
      <c r="N67" s="3">
        <v>2</v>
      </c>
      <c r="O67" s="6">
        <f>(K67+L67)-(I67+J67)</f>
        <v>2.2048611111094942</v>
      </c>
      <c r="P67" s="3"/>
      <c r="Q67" s="3">
        <v>-80</v>
      </c>
      <c r="R67" s="8">
        <v>26700</v>
      </c>
      <c r="S67" s="8"/>
      <c r="T67" s="13">
        <f>Table2[[#This Row],[Spikein_load_estimate_cells_p_uL]]*1000</f>
        <v>26700000</v>
      </c>
      <c r="U67" s="13"/>
    </row>
    <row r="68" spans="1:21" x14ac:dyDescent="0.2">
      <c r="A68" s="2">
        <v>407</v>
      </c>
      <c r="B68" s="3" t="s">
        <v>4</v>
      </c>
      <c r="C68" s="3" t="s">
        <v>30</v>
      </c>
      <c r="D68" s="3">
        <v>5.4</v>
      </c>
      <c r="E68" s="3">
        <v>1</v>
      </c>
      <c r="F68" s="3">
        <v>10</v>
      </c>
      <c r="G68" s="3">
        <f>Table2[[#This Row],[Prep_dilution_factor]]*Table2[[#This Row],[Aliquot_dilution_factor]]</f>
        <v>10</v>
      </c>
      <c r="H68" s="3">
        <v>2</v>
      </c>
      <c r="I68" s="4">
        <v>44810</v>
      </c>
      <c r="J68" s="5">
        <v>0.44444444444444442</v>
      </c>
      <c r="K68" s="4">
        <v>44812</v>
      </c>
      <c r="L68" s="5">
        <v>0.39583333333333331</v>
      </c>
      <c r="M68" s="3" t="s">
        <v>5</v>
      </c>
      <c r="N68" s="3">
        <v>2</v>
      </c>
      <c r="O68" s="6">
        <f>(K68+L68)-(I68+J68)</f>
        <v>1.9513888888905058</v>
      </c>
      <c r="P68" s="3"/>
      <c r="Q68" s="3">
        <v>-80</v>
      </c>
      <c r="R68" s="8">
        <v>30000</v>
      </c>
      <c r="S68" s="8"/>
      <c r="T68" s="13">
        <f>Table2[[#This Row],[Spikein_load_estimate_cells_p_uL]]*1000</f>
        <v>30000000</v>
      </c>
      <c r="U68" s="13"/>
    </row>
    <row r="69" spans="1:21" x14ac:dyDescent="0.2">
      <c r="A69" s="2">
        <v>530</v>
      </c>
      <c r="B69" s="9" t="s">
        <v>4</v>
      </c>
      <c r="C69" s="3" t="s">
        <v>30</v>
      </c>
      <c r="D69" s="3">
        <v>5.3</v>
      </c>
      <c r="E69" s="3">
        <v>1</v>
      </c>
      <c r="F69" s="3">
        <v>10</v>
      </c>
      <c r="G69" s="3">
        <f>Table2[[#This Row],[Prep_dilution_factor]]*Table2[[#This Row],[Aliquot_dilution_factor]]</f>
        <v>10</v>
      </c>
      <c r="H69" s="3">
        <v>10</v>
      </c>
      <c r="I69" s="4">
        <v>44829</v>
      </c>
      <c r="J69" s="5">
        <v>0.5</v>
      </c>
      <c r="K69" s="4">
        <v>44830</v>
      </c>
      <c r="L69" s="5">
        <v>0.3125</v>
      </c>
      <c r="M69" s="3" t="s">
        <v>41</v>
      </c>
      <c r="N69" s="3">
        <v>1</v>
      </c>
      <c r="O69" s="6">
        <f>(K69+L69)-(I69+J69)</f>
        <v>0.8125</v>
      </c>
      <c r="P69" s="3"/>
      <c r="Q69" s="3">
        <v>-80</v>
      </c>
      <c r="R69" s="8">
        <v>157000</v>
      </c>
      <c r="S69" s="11"/>
      <c r="T69" s="13">
        <f>Table2[[#This Row],[Spikein_load_estimate_cells_p_uL]]*1000</f>
        <v>157000000</v>
      </c>
      <c r="U69" s="13"/>
    </row>
    <row r="70" spans="1:21" x14ac:dyDescent="0.2">
      <c r="A70" s="2">
        <v>515</v>
      </c>
      <c r="B70" s="9" t="s">
        <v>4</v>
      </c>
      <c r="C70" s="3" t="s">
        <v>30</v>
      </c>
      <c r="D70" s="3">
        <v>4.0999999999999996</v>
      </c>
      <c r="E70" s="3">
        <v>1</v>
      </c>
      <c r="F70" s="3">
        <v>10</v>
      </c>
      <c r="G70" s="3">
        <f>Table2[[#This Row],[Prep_dilution_factor]]*Table2[[#This Row],[Aliquot_dilution_factor]]</f>
        <v>10</v>
      </c>
      <c r="H70" s="3">
        <v>7</v>
      </c>
      <c r="I70" s="4">
        <v>44826</v>
      </c>
      <c r="J70" s="5">
        <v>0.45833333333333331</v>
      </c>
      <c r="K70" s="4">
        <v>44828</v>
      </c>
      <c r="L70" s="5">
        <v>0.47916666666666669</v>
      </c>
      <c r="M70" s="3" t="s">
        <v>23</v>
      </c>
      <c r="N70" s="3">
        <v>1</v>
      </c>
      <c r="O70" s="6">
        <f>(K70+L70)-(I70+J70)</f>
        <v>2.0208333333284827</v>
      </c>
      <c r="P70" s="3"/>
      <c r="Q70" s="3">
        <v>-80</v>
      </c>
      <c r="R70" s="8">
        <v>171000</v>
      </c>
      <c r="S70" s="11"/>
      <c r="T70" s="13">
        <f>Table2[[#This Row],[Spikein_load_estimate_cells_p_uL]]*1000</f>
        <v>171000000</v>
      </c>
      <c r="U70" s="13"/>
    </row>
    <row r="71" spans="1:21" x14ac:dyDescent="0.2">
      <c r="A71" s="2">
        <v>493</v>
      </c>
      <c r="B71" s="9" t="s">
        <v>4</v>
      </c>
      <c r="C71" s="3" t="s">
        <v>30</v>
      </c>
      <c r="D71" s="3">
        <v>4.9000000000000004</v>
      </c>
      <c r="E71" s="3">
        <v>1</v>
      </c>
      <c r="F71" s="3">
        <v>10</v>
      </c>
      <c r="G71" s="3">
        <f>Table2[[#This Row],[Prep_dilution_factor]]*Table2[[#This Row],[Aliquot_dilution_factor]]</f>
        <v>10</v>
      </c>
      <c r="H71" s="3">
        <v>9</v>
      </c>
      <c r="I71" s="4">
        <v>44825</v>
      </c>
      <c r="J71" s="5">
        <v>0.47430555555555554</v>
      </c>
      <c r="K71" s="4">
        <v>44827</v>
      </c>
      <c r="L71" s="5">
        <v>0.41666666666666669</v>
      </c>
      <c r="M71" s="3" t="s">
        <v>40</v>
      </c>
      <c r="N71" s="3">
        <v>2</v>
      </c>
      <c r="O71" s="6">
        <f>(K71+L71)-(I71+J71)</f>
        <v>1.9423611111051287</v>
      </c>
      <c r="P71" s="3"/>
      <c r="Q71" s="3">
        <v>-80</v>
      </c>
      <c r="R71" s="8">
        <v>181000</v>
      </c>
      <c r="S71" s="8"/>
      <c r="T71" s="13">
        <f>Table2[[#This Row],[Spikein_load_estimate_cells_p_uL]]*1000</f>
        <v>181000000</v>
      </c>
      <c r="U71" s="13"/>
    </row>
    <row r="72" spans="1:21" x14ac:dyDescent="0.2">
      <c r="A72" s="2">
        <v>496</v>
      </c>
      <c r="B72" s="9" t="s">
        <v>4</v>
      </c>
      <c r="C72" s="3" t="s">
        <v>30</v>
      </c>
      <c r="D72" s="3">
        <v>4.5</v>
      </c>
      <c r="E72" s="3">
        <v>1</v>
      </c>
      <c r="F72" s="3">
        <v>10</v>
      </c>
      <c r="G72" s="3">
        <f>Table2[[#This Row],[Prep_dilution_factor]]*Table2[[#This Row],[Aliquot_dilution_factor]]</f>
        <v>10</v>
      </c>
      <c r="H72" s="3">
        <v>9</v>
      </c>
      <c r="I72" s="4">
        <v>44826</v>
      </c>
      <c r="J72" s="5">
        <v>0.52083333333333337</v>
      </c>
      <c r="K72" s="4">
        <v>44828</v>
      </c>
      <c r="L72" s="5">
        <v>0.45833333333333331</v>
      </c>
      <c r="M72" s="3" t="s">
        <v>27</v>
      </c>
      <c r="N72" s="3">
        <v>1</v>
      </c>
      <c r="O72" s="6">
        <f>(K72+L72)-(I72+J72)</f>
        <v>1.9375</v>
      </c>
      <c r="P72" s="3"/>
      <c r="Q72" s="3">
        <v>-80</v>
      </c>
      <c r="R72" s="8">
        <v>197000</v>
      </c>
      <c r="S72" s="8"/>
      <c r="T72" s="13">
        <f>Table2[[#This Row],[Spikein_load_estimate_cells_p_uL]]*1000</f>
        <v>197000000</v>
      </c>
      <c r="U72" s="13"/>
    </row>
    <row r="73" spans="1:21" x14ac:dyDescent="0.2">
      <c r="A73" s="2">
        <v>494</v>
      </c>
      <c r="B73" s="9" t="s">
        <v>4</v>
      </c>
      <c r="C73" s="3" t="s">
        <v>30</v>
      </c>
      <c r="D73" s="3">
        <v>4.9000000000000004</v>
      </c>
      <c r="E73" s="3">
        <v>1</v>
      </c>
      <c r="F73" s="3">
        <v>10</v>
      </c>
      <c r="G73" s="3">
        <f>Table2[[#This Row],[Prep_dilution_factor]]*Table2[[#This Row],[Aliquot_dilution_factor]]</f>
        <v>10</v>
      </c>
      <c r="H73" s="3">
        <v>9</v>
      </c>
      <c r="I73" s="4">
        <v>44825</v>
      </c>
      <c r="J73" s="5">
        <v>0.47430555555555554</v>
      </c>
      <c r="K73" s="4">
        <v>44827</v>
      </c>
      <c r="L73" s="5">
        <v>0.41666666666666669</v>
      </c>
      <c r="M73" s="3" t="s">
        <v>40</v>
      </c>
      <c r="N73" s="3">
        <v>2</v>
      </c>
      <c r="O73" s="6">
        <f>(K73+L73)-(I73+J73)</f>
        <v>1.9423611111051287</v>
      </c>
      <c r="P73" s="3"/>
      <c r="Q73" s="3">
        <v>-80</v>
      </c>
      <c r="R73" s="8">
        <v>222000</v>
      </c>
      <c r="S73" s="8"/>
      <c r="T73" s="13">
        <f>Table2[[#This Row],[Spikein_load_estimate_cells_p_uL]]*1000</f>
        <v>222000000</v>
      </c>
      <c r="U73" s="13"/>
    </row>
    <row r="74" spans="1:21" x14ac:dyDescent="0.2">
      <c r="A74" s="2">
        <v>498</v>
      </c>
      <c r="B74" s="9" t="s">
        <v>4</v>
      </c>
      <c r="C74" s="3" t="s">
        <v>30</v>
      </c>
      <c r="D74" s="3">
        <v>4.5999999999999996</v>
      </c>
      <c r="E74" s="3">
        <v>1</v>
      </c>
      <c r="F74" s="3">
        <v>10</v>
      </c>
      <c r="G74" s="3">
        <f>Table2[[#This Row],[Prep_dilution_factor]]*Table2[[#This Row],[Aliquot_dilution_factor]]</f>
        <v>10</v>
      </c>
      <c r="H74" s="3">
        <v>9</v>
      </c>
      <c r="I74" s="4">
        <v>44826</v>
      </c>
      <c r="J74" s="5">
        <v>0.52083333333333337</v>
      </c>
      <c r="K74" s="4">
        <v>44828</v>
      </c>
      <c r="L74" s="5">
        <v>0.5</v>
      </c>
      <c r="M74" s="3" t="s">
        <v>39</v>
      </c>
      <c r="N74" s="3">
        <v>2</v>
      </c>
      <c r="O74" s="6">
        <f>(K74+L74)-(I74+J74)</f>
        <v>1.9791666666642413</v>
      </c>
      <c r="P74" s="3"/>
      <c r="Q74" s="3">
        <v>-80</v>
      </c>
      <c r="R74" s="8">
        <v>252000</v>
      </c>
      <c r="S74" s="11"/>
      <c r="T74" s="13">
        <f>Table2[[#This Row],[Spikein_load_estimate_cells_p_uL]]*1000</f>
        <v>252000000</v>
      </c>
      <c r="U74" s="13"/>
    </row>
    <row r="75" spans="1:21" x14ac:dyDescent="0.2">
      <c r="A75" s="2">
        <v>438</v>
      </c>
      <c r="B75" s="9" t="s">
        <v>4</v>
      </c>
      <c r="C75" s="3" t="s">
        <v>30</v>
      </c>
      <c r="D75" s="3">
        <v>4.5999999999999996</v>
      </c>
      <c r="E75" s="3">
        <v>1</v>
      </c>
      <c r="F75" s="3">
        <v>10</v>
      </c>
      <c r="G75" s="3">
        <f>Table2[[#This Row],[Prep_dilution_factor]]*Table2[[#This Row],[Aliquot_dilution_factor]]</f>
        <v>10</v>
      </c>
      <c r="H75" s="3">
        <v>6</v>
      </c>
      <c r="I75" s="4">
        <v>44816</v>
      </c>
      <c r="J75" s="5">
        <v>0.3576388888888889</v>
      </c>
      <c r="K75" s="4">
        <v>44817</v>
      </c>
      <c r="L75" s="5">
        <v>0.25347222222222221</v>
      </c>
      <c r="M75" s="3" t="s">
        <v>13</v>
      </c>
      <c r="N75" s="3">
        <v>2</v>
      </c>
      <c r="O75" s="6">
        <f>(K75+L75)-(I75+J75)</f>
        <v>0.89583333332848269</v>
      </c>
      <c r="P75" s="3"/>
      <c r="Q75" s="3">
        <v>-80</v>
      </c>
      <c r="R75" s="8">
        <v>353000</v>
      </c>
      <c r="S75" s="8"/>
      <c r="T75" s="13">
        <f>Table2[[#This Row],[Spikein_load_estimate_cells_p_uL]]*1000</f>
        <v>353000000</v>
      </c>
      <c r="U75" s="13"/>
    </row>
    <row r="76" spans="1:21" x14ac:dyDescent="0.2">
      <c r="A76" s="2">
        <v>420</v>
      </c>
      <c r="B76" s="9" t="s">
        <v>4</v>
      </c>
      <c r="C76" s="3" t="s">
        <v>30</v>
      </c>
      <c r="D76" s="3">
        <v>4.8</v>
      </c>
      <c r="E76" s="3">
        <v>1</v>
      </c>
      <c r="F76" s="3">
        <v>10</v>
      </c>
      <c r="G76" s="3">
        <f>Table2[[#This Row],[Prep_dilution_factor]]*Table2[[#This Row],[Aliquot_dilution_factor]]</f>
        <v>10</v>
      </c>
      <c r="H76" s="3">
        <v>3</v>
      </c>
      <c r="I76" s="4">
        <v>44812</v>
      </c>
      <c r="J76" s="5">
        <v>0.4375</v>
      </c>
      <c r="K76" s="4">
        <v>44813</v>
      </c>
      <c r="L76" s="5">
        <v>0.27083333333333331</v>
      </c>
      <c r="M76" s="3" t="s">
        <v>33</v>
      </c>
      <c r="N76" s="3">
        <v>2</v>
      </c>
      <c r="O76" s="6">
        <f>(K76+L76)-(I76+J76)</f>
        <v>0.83333333333575865</v>
      </c>
      <c r="P76" s="3"/>
      <c r="Q76" s="3">
        <v>-80</v>
      </c>
      <c r="R76" s="8">
        <v>417000</v>
      </c>
      <c r="S76" s="8"/>
      <c r="T76" s="13">
        <f>Table2[[#This Row],[Spikein_load_estimate_cells_p_uL]]*1000</f>
        <v>417000000</v>
      </c>
      <c r="U76" s="13"/>
    </row>
    <row r="77" spans="1:21" x14ac:dyDescent="0.2">
      <c r="A77" s="2">
        <v>451</v>
      </c>
      <c r="B77" s="9" t="s">
        <v>4</v>
      </c>
      <c r="C77" s="3" t="s">
        <v>30</v>
      </c>
      <c r="D77" s="3">
        <v>4.8</v>
      </c>
      <c r="E77" s="3">
        <v>1</v>
      </c>
      <c r="F77" s="3">
        <v>10</v>
      </c>
      <c r="G77" s="3">
        <f>Table2[[#This Row],[Prep_dilution_factor]]*Table2[[#This Row],[Aliquot_dilution_factor]]</f>
        <v>10</v>
      </c>
      <c r="H77" s="3">
        <v>5</v>
      </c>
      <c r="I77" s="4">
        <v>44816</v>
      </c>
      <c r="J77" s="5">
        <v>0.38541666666666669</v>
      </c>
      <c r="K77" s="4">
        <v>44817</v>
      </c>
      <c r="L77" s="5">
        <v>0.39583333333333331</v>
      </c>
      <c r="M77" s="3" t="s">
        <v>35</v>
      </c>
      <c r="N77" s="3">
        <v>1</v>
      </c>
      <c r="O77" s="6">
        <f>(K77+L77)-(I77+J77)</f>
        <v>1.0104166666715173</v>
      </c>
      <c r="P77" s="3"/>
      <c r="Q77" s="3">
        <v>-80</v>
      </c>
      <c r="R77" s="8">
        <v>492000</v>
      </c>
      <c r="S77" s="8"/>
      <c r="T77" s="13">
        <f>Table2[[#This Row],[Spikein_load_estimate_cells_p_uL]]*1000</f>
        <v>492000000</v>
      </c>
      <c r="U77" s="13"/>
    </row>
    <row r="78" spans="1:21" x14ac:dyDescent="0.2">
      <c r="A78" s="2">
        <v>533</v>
      </c>
      <c r="B78" s="9" t="s">
        <v>4</v>
      </c>
      <c r="C78" s="3" t="s">
        <v>30</v>
      </c>
      <c r="D78" s="3">
        <v>8.1</v>
      </c>
      <c r="E78" s="3">
        <v>1</v>
      </c>
      <c r="F78" s="3">
        <v>10</v>
      </c>
      <c r="G78" s="3">
        <f>Table2[[#This Row],[Prep_dilution_factor]]*Table2[[#This Row],[Aliquot_dilution_factor]]</f>
        <v>10</v>
      </c>
      <c r="H78" s="3">
        <v>10</v>
      </c>
      <c r="I78" s="4">
        <v>44829</v>
      </c>
      <c r="J78" s="5">
        <v>0.5</v>
      </c>
      <c r="K78" s="4">
        <v>44833</v>
      </c>
      <c r="L78" s="5">
        <v>0.375</v>
      </c>
      <c r="M78" s="3" t="s">
        <v>42</v>
      </c>
      <c r="N78" s="3">
        <v>2</v>
      </c>
      <c r="O78" s="6">
        <f>(K78+L78)-(I78+J78)</f>
        <v>3.875</v>
      </c>
      <c r="P78" s="3"/>
      <c r="Q78" s="3">
        <v>-80</v>
      </c>
      <c r="R78" s="8">
        <v>493000</v>
      </c>
      <c r="S78" s="11"/>
      <c r="T78" s="13">
        <f>Table2[[#This Row],[Spikein_load_estimate_cells_p_uL]]*1000</f>
        <v>493000000</v>
      </c>
      <c r="U78" s="13"/>
    </row>
    <row r="79" spans="1:21" ht="34" x14ac:dyDescent="0.2">
      <c r="A79" s="2">
        <v>416</v>
      </c>
      <c r="B79" s="9" t="s">
        <v>4</v>
      </c>
      <c r="C79" s="3" t="s">
        <v>30</v>
      </c>
      <c r="D79" s="3">
        <v>6.5</v>
      </c>
      <c r="E79" s="3">
        <f>1*2</f>
        <v>2</v>
      </c>
      <c r="F79" s="3">
        <v>10</v>
      </c>
      <c r="G79" s="3">
        <f>Table2[[#This Row],[Prep_dilution_factor]]*Table2[[#This Row],[Aliquot_dilution_factor]]</f>
        <v>20</v>
      </c>
      <c r="H79" s="3">
        <v>3</v>
      </c>
      <c r="I79" s="4">
        <v>44811</v>
      </c>
      <c r="J79" s="5">
        <v>0.39930555555555558</v>
      </c>
      <c r="K79" s="4">
        <v>44812</v>
      </c>
      <c r="L79" s="5">
        <v>0.27083333333333331</v>
      </c>
      <c r="M79" s="3" t="s">
        <v>31</v>
      </c>
      <c r="N79" s="3">
        <v>1</v>
      </c>
      <c r="O79" s="6">
        <f>(K79+L79)-(I79+J79)</f>
        <v>0.87152777778101154</v>
      </c>
      <c r="P79" s="7" t="s">
        <v>6</v>
      </c>
      <c r="Q79" s="3">
        <v>-80</v>
      </c>
      <c r="R79" s="8">
        <v>495000</v>
      </c>
      <c r="S79" s="8"/>
      <c r="T79" s="13">
        <f>Table2[[#This Row],[Spikein_load_estimate_cells_p_uL]]*1000</f>
        <v>495000000</v>
      </c>
      <c r="U79" s="13"/>
    </row>
    <row r="80" spans="1:21" x14ac:dyDescent="0.2">
      <c r="A80" s="2">
        <v>497</v>
      </c>
      <c r="B80" s="9" t="s">
        <v>4</v>
      </c>
      <c r="C80" s="3" t="s">
        <v>30</v>
      </c>
      <c r="D80" s="3">
        <v>4.8</v>
      </c>
      <c r="E80" s="3">
        <v>1</v>
      </c>
      <c r="F80" s="3">
        <v>10</v>
      </c>
      <c r="G80" s="3">
        <f>Table2[[#This Row],[Prep_dilution_factor]]*Table2[[#This Row],[Aliquot_dilution_factor]]</f>
        <v>10</v>
      </c>
      <c r="H80" s="3">
        <v>9</v>
      </c>
      <c r="I80" s="4">
        <v>44826</v>
      </c>
      <c r="J80" s="5">
        <v>0.52083333333333337</v>
      </c>
      <c r="K80" s="4">
        <v>44828</v>
      </c>
      <c r="L80" s="5">
        <v>0.45833333333333331</v>
      </c>
      <c r="M80" s="3" t="s">
        <v>27</v>
      </c>
      <c r="N80" s="3">
        <v>1</v>
      </c>
      <c r="O80" s="6">
        <f>(K80+L80)-(I80+J80)</f>
        <v>1.9375</v>
      </c>
      <c r="P80" s="3"/>
      <c r="Q80" s="3">
        <v>-80</v>
      </c>
      <c r="R80" s="8">
        <v>497000</v>
      </c>
      <c r="S80" s="8"/>
      <c r="T80" s="13">
        <f>Table2[[#This Row],[Spikein_load_estimate_cells_p_uL]]*1000</f>
        <v>497000000</v>
      </c>
      <c r="U80" s="13"/>
    </row>
    <row r="81" spans="1:21" x14ac:dyDescent="0.2">
      <c r="A81" s="2">
        <v>492</v>
      </c>
      <c r="B81" s="9" t="s">
        <v>4</v>
      </c>
      <c r="C81" s="3" t="s">
        <v>30</v>
      </c>
      <c r="D81" s="3">
        <v>5.8</v>
      </c>
      <c r="E81" s="3">
        <v>1</v>
      </c>
      <c r="F81" s="3">
        <v>10</v>
      </c>
      <c r="G81" s="3">
        <f>Table2[[#This Row],[Prep_dilution_factor]]*Table2[[#This Row],[Aliquot_dilution_factor]]</f>
        <v>10</v>
      </c>
      <c r="H81" s="3">
        <v>9</v>
      </c>
      <c r="I81" s="4">
        <v>44825</v>
      </c>
      <c r="J81" s="5">
        <v>0.47430555555555554</v>
      </c>
      <c r="K81" s="4">
        <v>44826</v>
      </c>
      <c r="L81" s="5">
        <v>0.5</v>
      </c>
      <c r="M81" s="3" t="s">
        <v>22</v>
      </c>
      <c r="N81" s="3">
        <v>1</v>
      </c>
      <c r="O81" s="6">
        <f>(K81+L81)-(I81+J81)</f>
        <v>1.0256944444408873</v>
      </c>
      <c r="P81" s="3"/>
      <c r="Q81" s="3">
        <v>-80</v>
      </c>
      <c r="R81" s="8">
        <v>728000</v>
      </c>
      <c r="S81" s="8"/>
      <c r="T81" s="13">
        <f>Table2[[#This Row],[Spikein_load_estimate_cells_p_uL]]*1000</f>
        <v>728000000</v>
      </c>
      <c r="U81" s="13"/>
    </row>
    <row r="82" spans="1:21" x14ac:dyDescent="0.2">
      <c r="A82" s="2">
        <v>433</v>
      </c>
      <c r="B82" s="9" t="s">
        <v>4</v>
      </c>
      <c r="C82" s="3" t="s">
        <v>30</v>
      </c>
      <c r="D82" s="3">
        <v>4.8</v>
      </c>
      <c r="E82" s="3">
        <v>1</v>
      </c>
      <c r="F82" s="3">
        <v>10</v>
      </c>
      <c r="G82" s="3">
        <f>Table2[[#This Row],[Prep_dilution_factor]]*Table2[[#This Row],[Aliquot_dilution_factor]]</f>
        <v>10</v>
      </c>
      <c r="H82" s="3">
        <v>6</v>
      </c>
      <c r="I82" s="4">
        <v>44815</v>
      </c>
      <c r="J82" s="5">
        <v>0.38680555555555557</v>
      </c>
      <c r="K82" s="4">
        <v>44816</v>
      </c>
      <c r="L82" s="5">
        <v>0.31597222222222221</v>
      </c>
      <c r="M82" s="3" t="s">
        <v>11</v>
      </c>
      <c r="N82" s="3">
        <v>2</v>
      </c>
      <c r="O82" s="6">
        <f>(K82+L82)-(I82+J82)</f>
        <v>0.92916666666133096</v>
      </c>
      <c r="P82" s="3"/>
      <c r="Q82" s="3">
        <v>-80</v>
      </c>
      <c r="R82" s="8">
        <v>865000</v>
      </c>
      <c r="S82" s="8"/>
      <c r="T82" s="13">
        <f>Table2[[#This Row],[Spikein_load_estimate_cells_p_uL]]*1000</f>
        <v>865000000</v>
      </c>
      <c r="U82" s="13"/>
    </row>
    <row r="83" spans="1:21" x14ac:dyDescent="0.2">
      <c r="A83" s="2">
        <v>448</v>
      </c>
      <c r="B83" s="9" t="s">
        <v>4</v>
      </c>
      <c r="C83" s="3" t="s">
        <v>30</v>
      </c>
      <c r="D83" s="3">
        <v>4.9000000000000004</v>
      </c>
      <c r="E83" s="3">
        <v>1</v>
      </c>
      <c r="F83" s="3">
        <v>10</v>
      </c>
      <c r="G83" s="3">
        <f>Table2[[#This Row],[Prep_dilution_factor]]*Table2[[#This Row],[Aliquot_dilution_factor]]</f>
        <v>10</v>
      </c>
      <c r="H83" s="3">
        <v>5</v>
      </c>
      <c r="I83" s="4">
        <v>44815</v>
      </c>
      <c r="J83" s="5">
        <v>0.45833333333333331</v>
      </c>
      <c r="K83" s="4">
        <v>44817</v>
      </c>
      <c r="L83" s="5">
        <v>0.39583333333333331</v>
      </c>
      <c r="M83" s="3" t="s">
        <v>14</v>
      </c>
      <c r="N83" s="3">
        <v>2</v>
      </c>
      <c r="O83" s="6">
        <f>(K83+L83)-(I83+J83)</f>
        <v>1.9375</v>
      </c>
      <c r="P83" s="3"/>
      <c r="Q83" s="3">
        <v>-80</v>
      </c>
      <c r="R83" s="8">
        <v>889000</v>
      </c>
      <c r="S83" s="8"/>
      <c r="T83" s="13">
        <f>Table2[[#This Row],[Spikein_load_estimate_cells_p_uL]]*1000</f>
        <v>889000000</v>
      </c>
      <c r="U83" s="13"/>
    </row>
    <row r="84" spans="1:21" x14ac:dyDescent="0.2">
      <c r="A84" s="2">
        <v>531</v>
      </c>
      <c r="B84" s="9" t="s">
        <v>4</v>
      </c>
      <c r="C84" s="3" t="s">
        <v>30</v>
      </c>
      <c r="D84" s="3">
        <v>5.5</v>
      </c>
      <c r="E84" s="3">
        <v>1</v>
      </c>
      <c r="F84" s="3">
        <v>10</v>
      </c>
      <c r="G84" s="3">
        <f>Table2[[#This Row],[Prep_dilution_factor]]*Table2[[#This Row],[Aliquot_dilution_factor]]</f>
        <v>10</v>
      </c>
      <c r="H84" s="3">
        <v>10</v>
      </c>
      <c r="I84" s="4">
        <v>44829</v>
      </c>
      <c r="J84" s="5">
        <v>0.5</v>
      </c>
      <c r="K84" s="4">
        <v>44830</v>
      </c>
      <c r="L84" s="5">
        <v>0.3125</v>
      </c>
      <c r="M84" s="3" t="s">
        <v>41</v>
      </c>
      <c r="N84" s="3">
        <v>1</v>
      </c>
      <c r="O84" s="6">
        <f>(K84+L84)-(I84+J84)</f>
        <v>0.8125</v>
      </c>
      <c r="P84" s="3"/>
      <c r="Q84" s="3">
        <v>-80</v>
      </c>
      <c r="R84" s="8">
        <v>980000</v>
      </c>
      <c r="S84" s="11"/>
      <c r="T84" s="13">
        <f>Table2[[#This Row],[Spikein_load_estimate_cells_p_uL]]*1000</f>
        <v>980000000</v>
      </c>
      <c r="U84" s="13"/>
    </row>
    <row r="85" spans="1:21" x14ac:dyDescent="0.2">
      <c r="A85" s="2">
        <v>419</v>
      </c>
      <c r="B85" s="9" t="s">
        <v>4</v>
      </c>
      <c r="C85" s="3" t="s">
        <v>30</v>
      </c>
      <c r="D85" s="3">
        <v>6.7</v>
      </c>
      <c r="E85" s="3">
        <v>1</v>
      </c>
      <c r="F85" s="3">
        <v>10</v>
      </c>
      <c r="G85" s="3">
        <f>Table2[[#This Row],[Prep_dilution_factor]]*Table2[[#This Row],[Aliquot_dilution_factor]]</f>
        <v>10</v>
      </c>
      <c r="H85" s="3">
        <v>3</v>
      </c>
      <c r="I85" s="4">
        <v>44812</v>
      </c>
      <c r="J85" s="5">
        <v>0.4375</v>
      </c>
      <c r="K85" s="4">
        <v>44813</v>
      </c>
      <c r="L85" s="5">
        <v>0.27083333333333331</v>
      </c>
      <c r="M85" s="3" t="s">
        <v>32</v>
      </c>
      <c r="N85" s="3">
        <v>1</v>
      </c>
      <c r="O85" s="6">
        <f>(K85+L85)-(I85+J85)</f>
        <v>0.83333333333575865</v>
      </c>
      <c r="P85" s="3"/>
      <c r="Q85" s="3">
        <v>-80</v>
      </c>
      <c r="R85" s="8">
        <v>1070000</v>
      </c>
      <c r="S85" s="8"/>
      <c r="T85" s="13">
        <f>Table2[[#This Row],[Spikein_load_estimate_cells_p_uL]]*1000</f>
        <v>1070000000</v>
      </c>
      <c r="U85" s="13"/>
    </row>
    <row r="86" spans="1:21" x14ac:dyDescent="0.2">
      <c r="A86" s="2">
        <v>431</v>
      </c>
      <c r="B86" s="9" t="s">
        <v>4</v>
      </c>
      <c r="C86" s="3" t="s">
        <v>30</v>
      </c>
      <c r="D86" s="3">
        <v>4.3</v>
      </c>
      <c r="E86" s="3">
        <v>1</v>
      </c>
      <c r="F86" s="3">
        <v>10</v>
      </c>
      <c r="G86" s="3">
        <f>Table2[[#This Row],[Prep_dilution_factor]]*Table2[[#This Row],[Aliquot_dilution_factor]]</f>
        <v>10</v>
      </c>
      <c r="H86" s="3">
        <v>6</v>
      </c>
      <c r="I86" s="4">
        <v>44815</v>
      </c>
      <c r="J86" s="5">
        <v>0.38680555555555557</v>
      </c>
      <c r="K86" s="4">
        <v>44816</v>
      </c>
      <c r="L86" s="5">
        <v>0.31597222222222221</v>
      </c>
      <c r="M86" s="3" t="s">
        <v>34</v>
      </c>
      <c r="N86" s="3">
        <v>1</v>
      </c>
      <c r="O86" s="6">
        <f>(K86+L86)-(I86+J86)</f>
        <v>0.92916666666133096</v>
      </c>
      <c r="P86" s="3"/>
      <c r="Q86" s="3">
        <v>-80</v>
      </c>
      <c r="R86" s="8">
        <v>1130000</v>
      </c>
      <c r="S86" s="8"/>
      <c r="T86" s="13">
        <f>Table2[[#This Row],[Spikein_load_estimate_cells_p_uL]]*1000</f>
        <v>1130000000</v>
      </c>
      <c r="U86" s="13"/>
    </row>
    <row r="87" spans="1:21" x14ac:dyDescent="0.2">
      <c r="A87" s="2">
        <v>463</v>
      </c>
      <c r="B87" s="9" t="s">
        <v>4</v>
      </c>
      <c r="C87" s="3" t="s">
        <v>30</v>
      </c>
      <c r="D87" s="3">
        <v>5.9</v>
      </c>
      <c r="E87" s="3">
        <v>1</v>
      </c>
      <c r="F87" s="3">
        <v>10</v>
      </c>
      <c r="G87" s="3">
        <f>Table2[[#This Row],[Prep_dilution_factor]]*Table2[[#This Row],[Aliquot_dilution_factor]]</f>
        <v>10</v>
      </c>
      <c r="H87" s="3">
        <v>4</v>
      </c>
      <c r="I87" s="4">
        <v>44817</v>
      </c>
      <c r="J87" s="5">
        <v>0.4201388888888889</v>
      </c>
      <c r="K87" s="4">
        <v>44819</v>
      </c>
      <c r="L87" s="5">
        <v>0.34722222222222227</v>
      </c>
      <c r="M87" s="3" t="s">
        <v>15</v>
      </c>
      <c r="N87" s="3">
        <v>1</v>
      </c>
      <c r="O87" s="6">
        <f>(K87+L87)-(I87+J87)</f>
        <v>1.9270833333284827</v>
      </c>
      <c r="P87" s="3"/>
      <c r="Q87" s="3">
        <v>-80</v>
      </c>
      <c r="R87" s="8">
        <v>1240000</v>
      </c>
      <c r="S87" s="8"/>
      <c r="T87" s="13">
        <f>Table2[[#This Row],[Spikein_load_estimate_cells_p_uL]]*1000</f>
        <v>1240000000</v>
      </c>
      <c r="U87" s="13"/>
    </row>
    <row r="88" spans="1:21" x14ac:dyDescent="0.2">
      <c r="A88" s="2">
        <v>454</v>
      </c>
      <c r="B88" s="9" t="s">
        <v>4</v>
      </c>
      <c r="C88" s="3" t="s">
        <v>30</v>
      </c>
      <c r="D88" s="3">
        <v>5</v>
      </c>
      <c r="E88" s="3">
        <v>1</v>
      </c>
      <c r="F88" s="3">
        <v>10</v>
      </c>
      <c r="G88" s="3">
        <f>Table2[[#This Row],[Prep_dilution_factor]]*Table2[[#This Row],[Aliquot_dilution_factor]]</f>
        <v>10</v>
      </c>
      <c r="H88" s="3">
        <v>5</v>
      </c>
      <c r="I88" s="4">
        <v>44816</v>
      </c>
      <c r="J88" s="5">
        <v>0.38541666666666669</v>
      </c>
      <c r="K88" s="4">
        <v>44818</v>
      </c>
      <c r="L88" s="5">
        <v>0.35416666666666669</v>
      </c>
      <c r="M88" s="3" t="s">
        <v>36</v>
      </c>
      <c r="N88" s="3">
        <v>2</v>
      </c>
      <c r="O88" s="6">
        <f>(K88+L88)-(I88+J88)</f>
        <v>1.96875</v>
      </c>
      <c r="P88" s="3"/>
      <c r="Q88" s="3">
        <v>-80</v>
      </c>
      <c r="R88" s="8">
        <v>1260000</v>
      </c>
      <c r="S88" s="8"/>
      <c r="T88" s="13">
        <f>Table2[[#This Row],[Spikein_load_estimate_cells_p_uL]]*1000</f>
        <v>1260000000</v>
      </c>
      <c r="U88" s="13"/>
    </row>
    <row r="89" spans="1:21" x14ac:dyDescent="0.2">
      <c r="A89" s="2">
        <v>435</v>
      </c>
      <c r="B89" s="9" t="s">
        <v>4</v>
      </c>
      <c r="C89" s="3" t="s">
        <v>30</v>
      </c>
      <c r="D89" s="3">
        <v>4.4000000000000004</v>
      </c>
      <c r="E89" s="3">
        <v>1</v>
      </c>
      <c r="F89" s="3">
        <v>10</v>
      </c>
      <c r="G89" s="3">
        <f>Table2[[#This Row],[Prep_dilution_factor]]*Table2[[#This Row],[Aliquot_dilution_factor]]</f>
        <v>10</v>
      </c>
      <c r="H89" s="3">
        <v>6</v>
      </c>
      <c r="I89" s="4">
        <v>44816</v>
      </c>
      <c r="J89" s="5">
        <v>0.3576388888888889</v>
      </c>
      <c r="K89" s="4">
        <v>44817</v>
      </c>
      <c r="L89" s="5">
        <v>0.25347222222222221</v>
      </c>
      <c r="M89" s="3" t="s">
        <v>12</v>
      </c>
      <c r="N89" s="3">
        <v>1</v>
      </c>
      <c r="O89" s="6">
        <f>(K89+L89)-(I89+J89)</f>
        <v>0.89583333332848269</v>
      </c>
      <c r="P89" s="3"/>
      <c r="Q89" s="3">
        <v>-80</v>
      </c>
      <c r="R89" s="8">
        <v>1410000</v>
      </c>
      <c r="S89" s="8"/>
      <c r="T89" s="13">
        <f>Table2[[#This Row],[Spikein_load_estimate_cells_p_uL]]*1000</f>
        <v>1410000000</v>
      </c>
      <c r="U89" s="13"/>
    </row>
    <row r="90" spans="1:21" x14ac:dyDescent="0.2">
      <c r="A90" s="2">
        <v>532</v>
      </c>
      <c r="B90" s="9" t="s">
        <v>4</v>
      </c>
      <c r="C90" s="3" t="s">
        <v>30</v>
      </c>
      <c r="D90" s="3">
        <v>6.3</v>
      </c>
      <c r="E90" s="3">
        <v>1</v>
      </c>
      <c r="F90" s="3">
        <v>10</v>
      </c>
      <c r="G90" s="3">
        <f>Table2[[#This Row],[Prep_dilution_factor]]*Table2[[#This Row],[Aliquot_dilution_factor]]</f>
        <v>10</v>
      </c>
      <c r="H90" s="3">
        <v>10</v>
      </c>
      <c r="I90" s="4">
        <v>44829</v>
      </c>
      <c r="J90" s="5">
        <v>0.5</v>
      </c>
      <c r="K90" s="4">
        <v>44830</v>
      </c>
      <c r="L90" s="5">
        <v>0.3125</v>
      </c>
      <c r="M90" s="3" t="s">
        <v>41</v>
      </c>
      <c r="N90" s="3">
        <v>1</v>
      </c>
      <c r="O90" s="6">
        <f>(K90+L90)-(I90+J90)</f>
        <v>0.8125</v>
      </c>
      <c r="P90" s="3"/>
      <c r="Q90" s="3">
        <v>-80</v>
      </c>
      <c r="R90" s="8">
        <v>1470000</v>
      </c>
      <c r="S90" s="11"/>
      <c r="T90" s="13">
        <f>Table2[[#This Row],[Spikein_load_estimate_cells_p_uL]]*1000</f>
        <v>1470000000</v>
      </c>
      <c r="U90" s="13"/>
    </row>
    <row r="91" spans="1:21" x14ac:dyDescent="0.2">
      <c r="A91" s="2">
        <v>436</v>
      </c>
      <c r="B91" s="9" t="s">
        <v>4</v>
      </c>
      <c r="C91" s="3" t="s">
        <v>30</v>
      </c>
      <c r="D91" s="3">
        <v>4.5</v>
      </c>
      <c r="E91" s="3">
        <v>1</v>
      </c>
      <c r="F91" s="3">
        <v>10</v>
      </c>
      <c r="G91" s="3">
        <f>Table2[[#This Row],[Prep_dilution_factor]]*Table2[[#This Row],[Aliquot_dilution_factor]]</f>
        <v>10</v>
      </c>
      <c r="H91" s="3">
        <v>6</v>
      </c>
      <c r="I91" s="4">
        <v>44816</v>
      </c>
      <c r="J91" s="5">
        <v>0.3576388888888889</v>
      </c>
      <c r="K91" s="4">
        <v>44817</v>
      </c>
      <c r="L91" s="5">
        <v>0.25347222222222221</v>
      </c>
      <c r="M91" s="3" t="s">
        <v>12</v>
      </c>
      <c r="N91" s="3">
        <v>1</v>
      </c>
      <c r="O91" s="6">
        <f>(K91+L91)-(I91+J91)</f>
        <v>0.89583333332848269</v>
      </c>
      <c r="P91" s="3"/>
      <c r="Q91" s="3">
        <v>-80</v>
      </c>
      <c r="R91" s="8">
        <v>1650000</v>
      </c>
      <c r="S91" s="8"/>
      <c r="T91" s="13">
        <f>Table2[[#This Row],[Spikein_load_estimate_cells_p_uL]]*1000</f>
        <v>1650000000</v>
      </c>
      <c r="U91" s="13"/>
    </row>
    <row r="92" spans="1:21" x14ac:dyDescent="0.2">
      <c r="A92" s="2">
        <v>452</v>
      </c>
      <c r="B92" s="9" t="s">
        <v>4</v>
      </c>
      <c r="C92" s="3" t="s">
        <v>30</v>
      </c>
      <c r="D92" s="3">
        <v>4.9000000000000004</v>
      </c>
      <c r="E92" s="3">
        <v>1</v>
      </c>
      <c r="F92" s="3">
        <v>10</v>
      </c>
      <c r="G92" s="3">
        <f>Table2[[#This Row],[Prep_dilution_factor]]*Table2[[#This Row],[Aliquot_dilution_factor]]</f>
        <v>10</v>
      </c>
      <c r="H92" s="3">
        <v>5</v>
      </c>
      <c r="I92" s="4">
        <v>44816</v>
      </c>
      <c r="J92" s="5">
        <v>0.38541666666666669</v>
      </c>
      <c r="K92" s="4">
        <v>44817</v>
      </c>
      <c r="L92" s="5">
        <v>0.39583333333333331</v>
      </c>
      <c r="M92" s="3" t="s">
        <v>35</v>
      </c>
      <c r="N92" s="3">
        <v>1</v>
      </c>
      <c r="O92" s="6">
        <f>(K92+L92)-(I92+J92)</f>
        <v>1.0104166666715173</v>
      </c>
      <c r="P92" s="3"/>
      <c r="Q92" s="3">
        <v>-80</v>
      </c>
      <c r="R92" s="8">
        <v>1860000</v>
      </c>
      <c r="S92" s="8"/>
      <c r="T92" s="13">
        <f>Table2[[#This Row],[Spikein_load_estimate_cells_p_uL]]*1000</f>
        <v>1860000000</v>
      </c>
      <c r="U92" s="13"/>
    </row>
    <row r="93" spans="1:21" x14ac:dyDescent="0.2">
      <c r="A93" s="2">
        <v>449</v>
      </c>
      <c r="B93" s="9" t="s">
        <v>4</v>
      </c>
      <c r="C93" s="3" t="s">
        <v>30</v>
      </c>
      <c r="D93" s="3">
        <v>4.9000000000000004</v>
      </c>
      <c r="E93" s="3">
        <v>1</v>
      </c>
      <c r="F93" s="3">
        <v>10</v>
      </c>
      <c r="G93" s="3">
        <f>Table2[[#This Row],[Prep_dilution_factor]]*Table2[[#This Row],[Aliquot_dilution_factor]]</f>
        <v>10</v>
      </c>
      <c r="H93" s="3">
        <v>5</v>
      </c>
      <c r="I93" s="4">
        <v>44815</v>
      </c>
      <c r="J93" s="5">
        <v>0.45833333333333331</v>
      </c>
      <c r="K93" s="4">
        <v>44817</v>
      </c>
      <c r="L93" s="5">
        <v>0.39583333333333331</v>
      </c>
      <c r="M93" s="3" t="s">
        <v>14</v>
      </c>
      <c r="N93" s="3">
        <v>2</v>
      </c>
      <c r="O93" s="6">
        <f>(K93+L93)-(I93+J93)</f>
        <v>1.9375</v>
      </c>
      <c r="P93" s="3"/>
      <c r="Q93" s="3">
        <v>-80</v>
      </c>
      <c r="R93" s="8">
        <v>2660000</v>
      </c>
      <c r="S93" s="8"/>
      <c r="T93" s="13">
        <f>Table2[[#This Row],[Spikein_load_estimate_cells_p_uL]]*1000</f>
        <v>2660000000</v>
      </c>
      <c r="U93" s="13"/>
    </row>
    <row r="94" spans="1:21" x14ac:dyDescent="0.2">
      <c r="A94" s="2">
        <v>478</v>
      </c>
      <c r="B94" s="9" t="s">
        <v>4</v>
      </c>
      <c r="C94" s="3" t="s">
        <v>30</v>
      </c>
      <c r="D94" s="3">
        <v>6</v>
      </c>
      <c r="E94" s="3">
        <v>1</v>
      </c>
      <c r="F94" s="3">
        <v>10</v>
      </c>
      <c r="G94" s="3">
        <f>Table2[[#This Row],[Prep_dilution_factor]]*Table2[[#This Row],[Aliquot_dilution_factor]]</f>
        <v>10</v>
      </c>
      <c r="H94" s="3">
        <v>8</v>
      </c>
      <c r="I94" s="4">
        <v>44825</v>
      </c>
      <c r="J94" s="5">
        <v>0.3840277777777778</v>
      </c>
      <c r="K94" s="4">
        <v>44827</v>
      </c>
      <c r="L94" s="5">
        <v>0.3125</v>
      </c>
      <c r="M94" s="3" t="s">
        <v>18</v>
      </c>
      <c r="N94" s="3">
        <v>2</v>
      </c>
      <c r="O94" s="6">
        <f>(K94+L94)-(I94+J94)</f>
        <v>1.9284722222218988</v>
      </c>
      <c r="P94" s="3"/>
      <c r="Q94" s="3">
        <v>-80</v>
      </c>
      <c r="R94" s="8">
        <v>8060000</v>
      </c>
      <c r="S94" s="8"/>
      <c r="T94" s="13">
        <f>Table2[[#This Row],[Spikein_load_estimate_cells_p_uL]]*1000</f>
        <v>8060000000</v>
      </c>
      <c r="U94" s="13"/>
    </row>
    <row r="95" spans="1:21" x14ac:dyDescent="0.2">
      <c r="A95" s="2">
        <v>453</v>
      </c>
      <c r="B95" s="9" t="s">
        <v>4</v>
      </c>
      <c r="C95" s="3" t="s">
        <v>30</v>
      </c>
      <c r="D95" s="3">
        <v>6.5</v>
      </c>
      <c r="E95" s="3">
        <v>1</v>
      </c>
      <c r="F95" s="3">
        <v>10</v>
      </c>
      <c r="G95" s="3">
        <f>Table2[[#This Row],[Prep_dilution_factor]]*Table2[[#This Row],[Aliquot_dilution_factor]]</f>
        <v>10</v>
      </c>
      <c r="H95" s="3">
        <v>5</v>
      </c>
      <c r="I95" s="4">
        <v>44816</v>
      </c>
      <c r="J95" s="5">
        <v>0.38541666666666669</v>
      </c>
      <c r="K95" s="4">
        <v>44817</v>
      </c>
      <c r="L95" s="5">
        <v>0.39583333333333331</v>
      </c>
      <c r="M95" s="3" t="s">
        <v>36</v>
      </c>
      <c r="N95" s="3">
        <v>2</v>
      </c>
      <c r="O95" s="6">
        <f>(K95+L95)-(I95+J95)</f>
        <v>1.0104166666715173</v>
      </c>
      <c r="P95" s="3"/>
      <c r="Q95" s="3">
        <v>-80</v>
      </c>
      <c r="R95" s="8">
        <v>22700000</v>
      </c>
      <c r="S95" s="8"/>
      <c r="T95" s="13">
        <f>Table2[[#This Row],[Spikein_load_estimate_cells_p_uL]]*1000</f>
        <v>22700000000</v>
      </c>
      <c r="U95" s="13"/>
    </row>
    <row r="96" spans="1:21" x14ac:dyDescent="0.2">
      <c r="A96" s="2">
        <v>465</v>
      </c>
      <c r="B96" s="9" t="s">
        <v>4</v>
      </c>
      <c r="C96" s="3" t="s">
        <v>30</v>
      </c>
      <c r="D96" s="3">
        <v>5.7</v>
      </c>
      <c r="E96" s="3">
        <v>1</v>
      </c>
      <c r="F96" s="3">
        <v>10</v>
      </c>
      <c r="G96" s="3">
        <f>Table2[[#This Row],[Prep_dilution_factor]]*Table2[[#This Row],[Aliquot_dilution_factor]]</f>
        <v>10</v>
      </c>
      <c r="H96" s="3">
        <v>4</v>
      </c>
      <c r="I96" s="4">
        <v>44817</v>
      </c>
      <c r="J96" s="5">
        <v>0.4201388888888889</v>
      </c>
      <c r="K96" s="4">
        <v>44819</v>
      </c>
      <c r="L96" s="5">
        <v>0.34722222222222227</v>
      </c>
      <c r="M96" s="3" t="s">
        <v>16</v>
      </c>
      <c r="N96" s="3">
        <v>2</v>
      </c>
      <c r="O96" s="6">
        <f>(K96+L96)-(I96+J96)</f>
        <v>1.9270833333284827</v>
      </c>
      <c r="P96" s="3"/>
      <c r="Q96" s="3">
        <v>-80</v>
      </c>
      <c r="R96" s="3" t="s">
        <v>28</v>
      </c>
      <c r="S96" s="8"/>
      <c r="T96" s="13"/>
      <c r="U96" s="13"/>
    </row>
    <row r="97" spans="1:21" x14ac:dyDescent="0.2">
      <c r="A97" s="2">
        <v>476</v>
      </c>
      <c r="B97" s="9" t="s">
        <v>4</v>
      </c>
      <c r="C97" s="3" t="s">
        <v>30</v>
      </c>
      <c r="D97" s="3">
        <v>8.5</v>
      </c>
      <c r="E97" s="3">
        <v>1</v>
      </c>
      <c r="F97" s="3">
        <v>10</v>
      </c>
      <c r="G97" s="3">
        <f>Table2[[#This Row],[Prep_dilution_factor]]*Table2[[#This Row],[Aliquot_dilution_factor]]</f>
        <v>10</v>
      </c>
      <c r="H97" s="3">
        <v>8</v>
      </c>
      <c r="I97" s="4">
        <v>44825</v>
      </c>
      <c r="J97" s="5">
        <v>0.3840277777777778</v>
      </c>
      <c r="K97" s="4">
        <v>44826</v>
      </c>
      <c r="L97" s="5">
        <v>0.3923611111111111</v>
      </c>
      <c r="M97" s="3" t="s">
        <v>38</v>
      </c>
      <c r="N97" s="3">
        <v>1</v>
      </c>
      <c r="O97" s="6">
        <f>(K97+L97)-(I97+J97)</f>
        <v>1.0083333333313931</v>
      </c>
      <c r="P97" s="3"/>
      <c r="Q97" s="3">
        <v>-80</v>
      </c>
      <c r="R97" s="3" t="s">
        <v>28</v>
      </c>
      <c r="S97" s="8"/>
      <c r="T97" s="13"/>
      <c r="U97" s="13"/>
    </row>
    <row r="98" spans="1:21" x14ac:dyDescent="0.2">
      <c r="A98" s="2">
        <v>477</v>
      </c>
      <c r="B98" s="9" t="s">
        <v>4</v>
      </c>
      <c r="C98" s="3" t="s">
        <v>30</v>
      </c>
      <c r="D98" s="3">
        <v>8.6</v>
      </c>
      <c r="E98" s="3">
        <v>1</v>
      </c>
      <c r="F98" s="3">
        <v>10</v>
      </c>
      <c r="G98" s="3">
        <f>Table2[[#This Row],[Prep_dilution_factor]]*Table2[[#This Row],[Aliquot_dilution_factor]]</f>
        <v>10</v>
      </c>
      <c r="H98" s="3">
        <v>8</v>
      </c>
      <c r="I98" s="4">
        <v>44825</v>
      </c>
      <c r="J98" s="5">
        <v>0.3840277777777778</v>
      </c>
      <c r="K98" s="4">
        <v>44826</v>
      </c>
      <c r="L98" s="5">
        <v>0.3923611111111111</v>
      </c>
      <c r="M98" s="3" t="s">
        <v>38</v>
      </c>
      <c r="N98" s="3">
        <v>1</v>
      </c>
      <c r="O98" s="6">
        <f>(K98+L98)-(I98+J98)</f>
        <v>1.0083333333313931</v>
      </c>
      <c r="P98" s="3"/>
      <c r="Q98" s="3">
        <v>-80</v>
      </c>
      <c r="R98" s="3" t="s">
        <v>28</v>
      </c>
      <c r="S98" s="8"/>
      <c r="T98" s="13"/>
      <c r="U98" s="13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2026-05-14T16:23:21Z</dcterms:created>
  <dcterms:modified xsi:type="dcterms:W3CDTF">2026-05-14T19:59:36Z</dcterms:modified>
</cp:coreProperties>
</file>