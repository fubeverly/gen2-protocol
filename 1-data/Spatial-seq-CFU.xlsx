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fu/Dropbox (Personal)/Papers/NatProt gen2/Github/gen2-protocol/1-data/"/>
    </mc:Choice>
  </mc:AlternateContent>
  <xr:revisionPtr revIDLastSave="0" documentId="13_ncr:1_{92008242-3DFD-8D44-A048-FD702E85E462}" xr6:coauthVersionLast="47" xr6:coauthVersionMax="47" xr10:uidLastSave="{00000000-0000-0000-0000-000000000000}"/>
  <bookViews>
    <workbookView xWindow="900" yWindow="1300" windowWidth="28040" windowHeight="17440" xr2:uid="{099E542F-3DD2-5744-B169-5E625E366B2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0" i="1" l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8" i="1"/>
  <c r="I7" i="1"/>
  <c r="I6" i="1"/>
  <c r="I5" i="1"/>
  <c r="I4" i="1"/>
  <c r="I3" i="1"/>
  <c r="I2" i="1"/>
  <c r="G29" i="1"/>
  <c r="H29" i="1" s="1"/>
  <c r="G28" i="1"/>
  <c r="H28" i="1" s="1"/>
  <c r="G27" i="1"/>
  <c r="H27" i="1" s="1"/>
  <c r="G26" i="1"/>
  <c r="H30" i="1"/>
  <c r="H26" i="1"/>
  <c r="H21" i="1"/>
  <c r="G20" i="1"/>
  <c r="H20" i="1" s="1"/>
  <c r="H15" i="1"/>
  <c r="H16" i="1"/>
  <c r="H17" i="1"/>
  <c r="H18" i="1"/>
  <c r="H19" i="1"/>
  <c r="H22" i="1"/>
  <c r="H23" i="1"/>
  <c r="H24" i="1"/>
  <c r="H25" i="1"/>
  <c r="H14" i="1"/>
  <c r="H13" i="1"/>
  <c r="H3" i="1"/>
  <c r="H4" i="1"/>
  <c r="H5" i="1"/>
  <c r="H6" i="1"/>
  <c r="H7" i="1"/>
  <c r="H8" i="1"/>
  <c r="H2" i="1"/>
</calcChain>
</file>

<file path=xl/sharedStrings.xml><?xml version="1.0" encoding="utf-8"?>
<sst xmlns="http://schemas.openxmlformats.org/spreadsheetml/2006/main" count="99" uniqueCount="35">
  <si>
    <t>KD35</t>
  </si>
  <si>
    <t>R1</t>
  </si>
  <si>
    <t>R2</t>
  </si>
  <si>
    <t>R3</t>
  </si>
  <si>
    <t>R4</t>
  </si>
  <si>
    <t>R5</t>
  </si>
  <si>
    <t>R6</t>
  </si>
  <si>
    <t>R7</t>
  </si>
  <si>
    <t>Stool</t>
  </si>
  <si>
    <t>Date</t>
  </si>
  <si>
    <t>Subject</t>
  </si>
  <si>
    <t>Region</t>
  </si>
  <si>
    <t>Dilution</t>
  </si>
  <si>
    <t>Count</t>
  </si>
  <si>
    <t>ImageJ</t>
  </si>
  <si>
    <t>ROI imager</t>
  </si>
  <si>
    <t>Click each colony</t>
  </si>
  <si>
    <t>Save &amp; export as needed</t>
  </si>
  <si>
    <t>&gt;1000</t>
  </si>
  <si>
    <t>Plate_volume_uL</t>
  </si>
  <si>
    <t>&gt;1E10</t>
  </si>
  <si>
    <t>Notes</t>
  </si>
  <si>
    <t>lawn</t>
  </si>
  <si>
    <t>KD36</t>
  </si>
  <si>
    <t>~1E9</t>
  </si>
  <si>
    <t>CFU_mL</t>
  </si>
  <si>
    <t>NA</t>
  </si>
  <si>
    <t>KD39</t>
  </si>
  <si>
    <t>KD40</t>
  </si>
  <si>
    <t>R8</t>
  </si>
  <si>
    <t>No</t>
  </si>
  <si>
    <t>CFU_plot</t>
  </si>
  <si>
    <t>pH</t>
  </si>
  <si>
    <t>&lt;5.5</t>
  </si>
  <si>
    <t>NM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</si>
</sst>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quotePrefix="1" applyFont="1" applyAlignment="1">
      <alignment horizontal="left"/>
    </xf>
    <xf numFmtId="11" fontId="2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4CB53-86D6-644A-B7D3-990D792CFEF2}">
  <dimension ref="A1:K35"/>
  <sheetViews>
    <sheetView tabSelected="1" workbookViewId="0">
      <selection activeCell="G35" sqref="G35"/>
    </sheetView>
  </sheetViews>
  <sheetFormatPr baseColWidth="10" defaultRowHeight="16" x14ac:dyDescent="0.2"/>
  <cols>
    <col min="1" max="1" width="11" style="2" bestFit="1" customWidth="1"/>
    <col min="2" max="2" width="8.1640625" style="2" bestFit="1" customWidth="1"/>
    <col min="3" max="3" width="7.33203125" style="2" bestFit="1" customWidth="1"/>
    <col min="4" max="4" width="6.83203125" style="2" bestFit="1" customWidth="1"/>
    <col min="5" max="5" width="7.83203125" style="2" bestFit="1" customWidth="1"/>
    <col min="6" max="6" width="12.5" style="2" bestFit="1" customWidth="1"/>
    <col min="7" max="9" width="11" style="2" bestFit="1" customWidth="1"/>
    <col min="10" max="10" width="10.83203125" style="2"/>
    <col min="11" max="11" width="11" style="2" bestFit="1" customWidth="1"/>
    <col min="12" max="16384" width="10.83203125" style="2"/>
  </cols>
  <sheetData>
    <row r="1" spans="1:11" x14ac:dyDescent="0.2">
      <c r="A1" s="1" t="s">
        <v>30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19</v>
      </c>
      <c r="G1" s="1" t="s">
        <v>13</v>
      </c>
      <c r="H1" s="1" t="s">
        <v>25</v>
      </c>
      <c r="I1" s="1" t="s">
        <v>31</v>
      </c>
      <c r="J1" s="1" t="s">
        <v>21</v>
      </c>
      <c r="K1" s="1" t="s">
        <v>32</v>
      </c>
    </row>
    <row r="2" spans="1:11" x14ac:dyDescent="0.2">
      <c r="A2" s="2">
        <v>1</v>
      </c>
      <c r="B2" s="2">
        <v>240730</v>
      </c>
      <c r="C2" s="2" t="s">
        <v>0</v>
      </c>
      <c r="D2" s="2" t="s">
        <v>1</v>
      </c>
      <c r="E2" s="3">
        <v>1</v>
      </c>
      <c r="F2" s="2">
        <v>1</v>
      </c>
      <c r="G2" s="2">
        <v>205</v>
      </c>
      <c r="H2" s="4">
        <f>G2*1000</f>
        <v>205000</v>
      </c>
      <c r="I2" s="4">
        <f>H2*1000</f>
        <v>205000000</v>
      </c>
      <c r="K2" s="2" t="s">
        <v>34</v>
      </c>
    </row>
    <row r="3" spans="1:11" x14ac:dyDescent="0.2">
      <c r="A3" s="2">
        <v>2</v>
      </c>
      <c r="B3" s="2">
        <v>240730</v>
      </c>
      <c r="C3" s="2" t="s">
        <v>0</v>
      </c>
      <c r="D3" s="2" t="s">
        <v>2</v>
      </c>
      <c r="E3" s="3">
        <v>1</v>
      </c>
      <c r="F3" s="2">
        <v>1</v>
      </c>
      <c r="G3" s="2">
        <v>255</v>
      </c>
      <c r="H3" s="4">
        <f t="shared" ref="H3:I29" si="0">G3*1000</f>
        <v>255000</v>
      </c>
      <c r="I3" s="4">
        <f t="shared" si="0"/>
        <v>255000000</v>
      </c>
      <c r="K3" s="2" t="s">
        <v>34</v>
      </c>
    </row>
    <row r="4" spans="1:11" x14ac:dyDescent="0.2">
      <c r="A4" s="2">
        <v>3</v>
      </c>
      <c r="B4" s="2">
        <v>240730</v>
      </c>
      <c r="C4" s="2" t="s">
        <v>0</v>
      </c>
      <c r="D4" s="2" t="s">
        <v>3</v>
      </c>
      <c r="E4" s="3">
        <v>1</v>
      </c>
      <c r="F4" s="2">
        <v>1</v>
      </c>
      <c r="G4" s="2">
        <v>338</v>
      </c>
      <c r="H4" s="4">
        <f t="shared" si="0"/>
        <v>338000</v>
      </c>
      <c r="I4" s="4">
        <f t="shared" si="0"/>
        <v>338000000</v>
      </c>
      <c r="K4" s="2" t="s">
        <v>34</v>
      </c>
    </row>
    <row r="5" spans="1:11" x14ac:dyDescent="0.2">
      <c r="A5" s="2">
        <v>4</v>
      </c>
      <c r="B5" s="2">
        <v>240730</v>
      </c>
      <c r="C5" s="2" t="s">
        <v>0</v>
      </c>
      <c r="D5" s="2" t="s">
        <v>4</v>
      </c>
      <c r="E5" s="3">
        <v>1</v>
      </c>
      <c r="F5" s="2">
        <v>1</v>
      </c>
      <c r="G5" s="2">
        <v>469</v>
      </c>
      <c r="H5" s="4">
        <f t="shared" si="0"/>
        <v>469000</v>
      </c>
      <c r="I5" s="4">
        <f t="shared" si="0"/>
        <v>469000000</v>
      </c>
      <c r="K5" s="2" t="s">
        <v>34</v>
      </c>
    </row>
    <row r="6" spans="1:11" x14ac:dyDescent="0.2">
      <c r="A6" s="2">
        <v>5</v>
      </c>
      <c r="B6" s="2">
        <v>240730</v>
      </c>
      <c r="C6" s="2" t="s">
        <v>0</v>
      </c>
      <c r="D6" s="2" t="s">
        <v>5</v>
      </c>
      <c r="E6" s="3">
        <v>1</v>
      </c>
      <c r="F6" s="2">
        <v>1</v>
      </c>
      <c r="G6" s="2">
        <v>229</v>
      </c>
      <c r="H6" s="4">
        <f t="shared" si="0"/>
        <v>229000</v>
      </c>
      <c r="I6" s="4">
        <f t="shared" si="0"/>
        <v>229000000</v>
      </c>
      <c r="K6" s="2" t="s">
        <v>34</v>
      </c>
    </row>
    <row r="7" spans="1:11" x14ac:dyDescent="0.2">
      <c r="A7" s="2">
        <v>6</v>
      </c>
      <c r="B7" s="2">
        <v>240730</v>
      </c>
      <c r="C7" s="2" t="s">
        <v>0</v>
      </c>
      <c r="D7" s="2" t="s">
        <v>6</v>
      </c>
      <c r="E7" s="3">
        <v>1</v>
      </c>
      <c r="F7" s="2">
        <v>1</v>
      </c>
      <c r="G7" s="2">
        <v>329</v>
      </c>
      <c r="H7" s="4">
        <f t="shared" si="0"/>
        <v>329000</v>
      </c>
      <c r="I7" s="4">
        <f t="shared" si="0"/>
        <v>329000000</v>
      </c>
      <c r="K7" s="2" t="s">
        <v>34</v>
      </c>
    </row>
    <row r="8" spans="1:11" x14ac:dyDescent="0.2">
      <c r="A8" s="2">
        <v>7</v>
      </c>
      <c r="B8" s="2">
        <v>240730</v>
      </c>
      <c r="C8" s="2" t="s">
        <v>0</v>
      </c>
      <c r="D8" s="2" t="s">
        <v>7</v>
      </c>
      <c r="E8" s="3">
        <v>1</v>
      </c>
      <c r="F8" s="2">
        <v>1</v>
      </c>
      <c r="G8" s="2">
        <v>323</v>
      </c>
      <c r="H8" s="4">
        <f t="shared" si="0"/>
        <v>323000</v>
      </c>
      <c r="I8" s="4">
        <f t="shared" si="0"/>
        <v>323000000</v>
      </c>
      <c r="K8" s="2" t="s">
        <v>34</v>
      </c>
    </row>
    <row r="9" spans="1:11" x14ac:dyDescent="0.2">
      <c r="A9" s="2">
        <v>8</v>
      </c>
      <c r="B9" s="2">
        <v>240730</v>
      </c>
      <c r="C9" s="2" t="s">
        <v>0</v>
      </c>
      <c r="D9" s="2" t="s">
        <v>8</v>
      </c>
      <c r="E9" s="3">
        <v>10000</v>
      </c>
      <c r="F9" s="2">
        <v>1</v>
      </c>
      <c r="G9" s="2" t="s">
        <v>18</v>
      </c>
      <c r="H9" s="4" t="s">
        <v>20</v>
      </c>
      <c r="I9" s="4">
        <v>10000000000</v>
      </c>
      <c r="K9" s="2" t="s">
        <v>34</v>
      </c>
    </row>
    <row r="10" spans="1:11" x14ac:dyDescent="0.2">
      <c r="A10" s="2">
        <v>9</v>
      </c>
      <c r="B10" s="2">
        <v>240730</v>
      </c>
      <c r="C10" s="2" t="s">
        <v>23</v>
      </c>
      <c r="D10" s="2" t="s">
        <v>1</v>
      </c>
      <c r="E10" s="3">
        <v>1</v>
      </c>
      <c r="F10" s="2">
        <v>1</v>
      </c>
      <c r="G10" s="2" t="s">
        <v>26</v>
      </c>
      <c r="H10" s="4" t="s">
        <v>24</v>
      </c>
      <c r="I10" s="4">
        <v>1000000000</v>
      </c>
      <c r="J10" s="2" t="s">
        <v>22</v>
      </c>
      <c r="K10" s="2" t="s">
        <v>34</v>
      </c>
    </row>
    <row r="11" spans="1:11" x14ac:dyDescent="0.2">
      <c r="A11" s="2">
        <v>10</v>
      </c>
      <c r="B11" s="2">
        <v>240730</v>
      </c>
      <c r="C11" s="2" t="s">
        <v>23</v>
      </c>
      <c r="D11" s="2" t="s">
        <v>2</v>
      </c>
      <c r="E11" s="3">
        <v>1</v>
      </c>
      <c r="F11" s="2">
        <v>1</v>
      </c>
      <c r="G11" s="2" t="s">
        <v>26</v>
      </c>
      <c r="H11" s="4" t="s">
        <v>24</v>
      </c>
      <c r="I11" s="4">
        <v>1000000000</v>
      </c>
      <c r="J11" s="2" t="s">
        <v>22</v>
      </c>
      <c r="K11" s="2" t="s">
        <v>34</v>
      </c>
    </row>
    <row r="12" spans="1:11" x14ac:dyDescent="0.2">
      <c r="A12" s="2">
        <v>11</v>
      </c>
      <c r="B12" s="2">
        <v>240730</v>
      </c>
      <c r="C12" s="2" t="s">
        <v>23</v>
      </c>
      <c r="D12" s="2" t="s">
        <v>3</v>
      </c>
      <c r="E12" s="3">
        <v>1</v>
      </c>
      <c r="F12" s="2">
        <v>1</v>
      </c>
      <c r="G12" s="2" t="s">
        <v>26</v>
      </c>
      <c r="H12" s="4" t="s">
        <v>24</v>
      </c>
      <c r="I12" s="4">
        <v>1000000000</v>
      </c>
      <c r="J12" s="2" t="s">
        <v>22</v>
      </c>
      <c r="K12" s="2" t="s">
        <v>34</v>
      </c>
    </row>
    <row r="13" spans="1:11" x14ac:dyDescent="0.2">
      <c r="A13" s="2">
        <v>12</v>
      </c>
      <c r="B13" s="2">
        <v>240730</v>
      </c>
      <c r="C13" s="2" t="s">
        <v>23</v>
      </c>
      <c r="D13" s="2" t="s">
        <v>8</v>
      </c>
      <c r="E13" s="3">
        <v>10000</v>
      </c>
      <c r="F13" s="2">
        <v>1</v>
      </c>
      <c r="G13" s="2">
        <v>367</v>
      </c>
      <c r="H13" s="4">
        <f>G13*1000*E13</f>
        <v>3670000000</v>
      </c>
      <c r="I13" s="4">
        <f>H13*1000*F13</f>
        <v>3670000000000</v>
      </c>
      <c r="K13" s="2" t="s">
        <v>34</v>
      </c>
    </row>
    <row r="14" spans="1:11" x14ac:dyDescent="0.2">
      <c r="A14" s="2">
        <v>13</v>
      </c>
      <c r="B14" s="2">
        <v>240809</v>
      </c>
      <c r="C14" s="2" t="s">
        <v>27</v>
      </c>
      <c r="D14" s="2" t="s">
        <v>1</v>
      </c>
      <c r="E14" s="3">
        <v>1</v>
      </c>
      <c r="F14" s="2">
        <v>1</v>
      </c>
      <c r="G14" s="2">
        <v>153</v>
      </c>
      <c r="H14" s="4">
        <f t="shared" si="0"/>
        <v>153000</v>
      </c>
      <c r="I14" s="4">
        <f t="shared" si="0"/>
        <v>153000000</v>
      </c>
      <c r="K14" s="2">
        <v>5.5</v>
      </c>
    </row>
    <row r="15" spans="1:11" x14ac:dyDescent="0.2">
      <c r="A15" s="2">
        <v>14</v>
      </c>
      <c r="B15" s="2">
        <v>240809</v>
      </c>
      <c r="C15" s="2" t="s">
        <v>27</v>
      </c>
      <c r="D15" s="2" t="s">
        <v>2</v>
      </c>
      <c r="E15" s="3">
        <v>1</v>
      </c>
      <c r="F15" s="2">
        <v>1</v>
      </c>
      <c r="G15" s="2">
        <v>411</v>
      </c>
      <c r="H15" s="4">
        <f t="shared" si="0"/>
        <v>411000</v>
      </c>
      <c r="I15" s="4">
        <f t="shared" si="0"/>
        <v>411000000</v>
      </c>
      <c r="K15" s="2">
        <v>5.8</v>
      </c>
    </row>
    <row r="16" spans="1:11" x14ac:dyDescent="0.2">
      <c r="A16" s="2">
        <v>15</v>
      </c>
      <c r="B16" s="2">
        <v>240809</v>
      </c>
      <c r="C16" s="2" t="s">
        <v>27</v>
      </c>
      <c r="D16" s="2" t="s">
        <v>3</v>
      </c>
      <c r="E16" s="3">
        <v>1</v>
      </c>
      <c r="F16" s="2">
        <v>1</v>
      </c>
      <c r="G16" s="2">
        <v>699</v>
      </c>
      <c r="H16" s="4">
        <f t="shared" si="0"/>
        <v>699000</v>
      </c>
      <c r="I16" s="4">
        <f t="shared" si="0"/>
        <v>699000000</v>
      </c>
      <c r="K16" s="2">
        <v>5.8</v>
      </c>
    </row>
    <row r="17" spans="1:11" x14ac:dyDescent="0.2">
      <c r="A17" s="2">
        <v>16</v>
      </c>
      <c r="B17" s="2">
        <v>240809</v>
      </c>
      <c r="C17" s="2" t="s">
        <v>27</v>
      </c>
      <c r="D17" s="2" t="s">
        <v>4</v>
      </c>
      <c r="E17" s="3">
        <v>1</v>
      </c>
      <c r="F17" s="2">
        <v>1</v>
      </c>
      <c r="G17" s="2">
        <v>669</v>
      </c>
      <c r="H17" s="4">
        <f t="shared" si="0"/>
        <v>669000</v>
      </c>
      <c r="I17" s="4">
        <f t="shared" si="0"/>
        <v>669000000</v>
      </c>
      <c r="K17" s="2">
        <v>5.8</v>
      </c>
    </row>
    <row r="18" spans="1:11" x14ac:dyDescent="0.2">
      <c r="A18" s="2">
        <v>17</v>
      </c>
      <c r="B18" s="2">
        <v>240809</v>
      </c>
      <c r="C18" s="2" t="s">
        <v>27</v>
      </c>
      <c r="D18" s="2" t="s">
        <v>5</v>
      </c>
      <c r="E18" s="3">
        <v>1</v>
      </c>
      <c r="F18" s="2">
        <v>1</v>
      </c>
      <c r="G18" s="2">
        <v>868</v>
      </c>
      <c r="H18" s="4">
        <f t="shared" si="0"/>
        <v>868000</v>
      </c>
      <c r="I18" s="4">
        <f t="shared" si="0"/>
        <v>868000000</v>
      </c>
      <c r="K18" s="2">
        <v>5.8</v>
      </c>
    </row>
    <row r="19" spans="1:11" x14ac:dyDescent="0.2">
      <c r="A19" s="2">
        <v>18</v>
      </c>
      <c r="B19" s="2">
        <v>240809</v>
      </c>
      <c r="C19" s="2" t="s">
        <v>27</v>
      </c>
      <c r="D19" s="2" t="s">
        <v>6</v>
      </c>
      <c r="E19" s="3">
        <v>1</v>
      </c>
      <c r="F19" s="2">
        <v>1</v>
      </c>
      <c r="G19" s="2">
        <v>689</v>
      </c>
      <c r="H19" s="4">
        <f t="shared" si="0"/>
        <v>689000</v>
      </c>
      <c r="I19" s="4">
        <f t="shared" si="0"/>
        <v>689000000</v>
      </c>
      <c r="K19" s="2">
        <v>6</v>
      </c>
    </row>
    <row r="20" spans="1:11" x14ac:dyDescent="0.2">
      <c r="A20" s="2">
        <v>19</v>
      </c>
      <c r="B20" s="2">
        <v>240809</v>
      </c>
      <c r="C20" s="2" t="s">
        <v>27</v>
      </c>
      <c r="D20" s="2" t="s">
        <v>7</v>
      </c>
      <c r="E20" s="3">
        <v>1</v>
      </c>
      <c r="F20" s="2">
        <v>1</v>
      </c>
      <c r="G20" s="2">
        <f>1037+200</f>
        <v>1237</v>
      </c>
      <c r="H20" s="4">
        <f t="shared" si="0"/>
        <v>1237000</v>
      </c>
      <c r="I20" s="4">
        <f t="shared" si="0"/>
        <v>1237000000</v>
      </c>
      <c r="K20" s="2">
        <v>6.2</v>
      </c>
    </row>
    <row r="21" spans="1:11" x14ac:dyDescent="0.2">
      <c r="A21" s="2">
        <v>20</v>
      </c>
      <c r="B21" s="2">
        <v>240809</v>
      </c>
      <c r="C21" s="2" t="s">
        <v>27</v>
      </c>
      <c r="D21" s="2" t="s">
        <v>8</v>
      </c>
      <c r="E21" s="3">
        <v>10000</v>
      </c>
      <c r="F21" s="2">
        <v>1</v>
      </c>
      <c r="G21" s="2">
        <v>456</v>
      </c>
      <c r="H21" s="4">
        <f>G21*1000*E21</f>
        <v>4560000000</v>
      </c>
      <c r="I21" s="4">
        <f>H21*1000*F21</f>
        <v>4560000000000</v>
      </c>
      <c r="K21" s="2" t="s">
        <v>34</v>
      </c>
    </row>
    <row r="22" spans="1:11" x14ac:dyDescent="0.2">
      <c r="A22" s="2">
        <v>21</v>
      </c>
      <c r="B22" s="2">
        <v>240809</v>
      </c>
      <c r="C22" s="2" t="s">
        <v>28</v>
      </c>
      <c r="D22" s="2" t="s">
        <v>1</v>
      </c>
      <c r="E22" s="3">
        <v>1</v>
      </c>
      <c r="F22" s="2">
        <v>1</v>
      </c>
      <c r="G22" s="2">
        <v>0</v>
      </c>
      <c r="H22" s="4">
        <f t="shared" si="0"/>
        <v>0</v>
      </c>
      <c r="I22" s="4">
        <f t="shared" si="0"/>
        <v>0</v>
      </c>
      <c r="K22" s="2" t="s">
        <v>33</v>
      </c>
    </row>
    <row r="23" spans="1:11" x14ac:dyDescent="0.2">
      <c r="A23" s="2">
        <v>22</v>
      </c>
      <c r="B23" s="2">
        <v>240809</v>
      </c>
      <c r="C23" s="2" t="s">
        <v>28</v>
      </c>
      <c r="D23" s="2" t="s">
        <v>2</v>
      </c>
      <c r="E23" s="3">
        <v>1</v>
      </c>
      <c r="F23" s="2">
        <v>1</v>
      </c>
      <c r="G23" s="2">
        <v>18</v>
      </c>
      <c r="H23" s="4">
        <f t="shared" si="0"/>
        <v>18000</v>
      </c>
      <c r="I23" s="4">
        <f t="shared" si="0"/>
        <v>18000000</v>
      </c>
      <c r="K23" s="2">
        <v>5.5</v>
      </c>
    </row>
    <row r="24" spans="1:11" x14ac:dyDescent="0.2">
      <c r="A24" s="2">
        <v>23</v>
      </c>
      <c r="B24" s="2">
        <v>240809</v>
      </c>
      <c r="C24" s="2" t="s">
        <v>28</v>
      </c>
      <c r="D24" s="2" t="s">
        <v>3</v>
      </c>
      <c r="E24" s="3">
        <v>1</v>
      </c>
      <c r="F24" s="2">
        <v>1</v>
      </c>
      <c r="G24" s="2">
        <v>364</v>
      </c>
      <c r="H24" s="4">
        <f t="shared" si="0"/>
        <v>364000</v>
      </c>
      <c r="I24" s="4">
        <f t="shared" si="0"/>
        <v>364000000</v>
      </c>
      <c r="K24" s="2">
        <v>5.5</v>
      </c>
    </row>
    <row r="25" spans="1:11" x14ac:dyDescent="0.2">
      <c r="A25" s="2">
        <v>24</v>
      </c>
      <c r="B25" s="2">
        <v>240809</v>
      </c>
      <c r="C25" s="2" t="s">
        <v>28</v>
      </c>
      <c r="D25" s="2" t="s">
        <v>4</v>
      </c>
      <c r="E25" s="3">
        <v>1</v>
      </c>
      <c r="F25" s="2">
        <v>1</v>
      </c>
      <c r="G25" s="2">
        <v>601</v>
      </c>
      <c r="H25" s="4">
        <f t="shared" si="0"/>
        <v>601000</v>
      </c>
      <c r="I25" s="4">
        <f t="shared" si="0"/>
        <v>601000000</v>
      </c>
      <c r="K25" s="2">
        <v>5.8</v>
      </c>
    </row>
    <row r="26" spans="1:11" x14ac:dyDescent="0.2">
      <c r="A26" s="2">
        <v>25</v>
      </c>
      <c r="B26" s="2">
        <v>240809</v>
      </c>
      <c r="C26" s="2" t="s">
        <v>28</v>
      </c>
      <c r="D26" s="2" t="s">
        <v>5</v>
      </c>
      <c r="E26" s="3">
        <v>1</v>
      </c>
      <c r="F26" s="2">
        <v>1</v>
      </c>
      <c r="G26" s="2">
        <f>660+300</f>
        <v>960</v>
      </c>
      <c r="H26" s="4">
        <f t="shared" si="0"/>
        <v>960000</v>
      </c>
      <c r="I26" s="4">
        <f t="shared" si="0"/>
        <v>960000000</v>
      </c>
      <c r="K26" s="2">
        <v>6</v>
      </c>
    </row>
    <row r="27" spans="1:11" x14ac:dyDescent="0.2">
      <c r="A27" s="2">
        <v>26</v>
      </c>
      <c r="B27" s="2">
        <v>240809</v>
      </c>
      <c r="C27" s="2" t="s">
        <v>28</v>
      </c>
      <c r="D27" s="2" t="s">
        <v>6</v>
      </c>
      <c r="E27" s="3">
        <v>1</v>
      </c>
      <c r="F27" s="2">
        <v>1</v>
      </c>
      <c r="G27" s="2">
        <f>515+600</f>
        <v>1115</v>
      </c>
      <c r="H27" s="4">
        <f t="shared" si="0"/>
        <v>1115000</v>
      </c>
      <c r="I27" s="4">
        <f t="shared" si="0"/>
        <v>1115000000</v>
      </c>
      <c r="K27" s="2">
        <v>6.2</v>
      </c>
    </row>
    <row r="28" spans="1:11" x14ac:dyDescent="0.2">
      <c r="A28" s="2">
        <v>27</v>
      </c>
      <c r="B28" s="2">
        <v>240809</v>
      </c>
      <c r="C28" s="2" t="s">
        <v>28</v>
      </c>
      <c r="D28" s="2" t="s">
        <v>7</v>
      </c>
      <c r="E28" s="3">
        <v>1</v>
      </c>
      <c r="F28" s="2">
        <v>1</v>
      </c>
      <c r="G28" s="2">
        <f>545+600</f>
        <v>1145</v>
      </c>
      <c r="H28" s="4">
        <f t="shared" si="0"/>
        <v>1145000</v>
      </c>
      <c r="I28" s="4">
        <f t="shared" si="0"/>
        <v>1145000000</v>
      </c>
      <c r="K28" s="2">
        <v>6.4</v>
      </c>
    </row>
    <row r="29" spans="1:11" x14ac:dyDescent="0.2">
      <c r="A29" s="2">
        <v>28</v>
      </c>
      <c r="B29" s="2">
        <v>240809</v>
      </c>
      <c r="C29" s="2" t="s">
        <v>28</v>
      </c>
      <c r="D29" s="2" t="s">
        <v>29</v>
      </c>
      <c r="E29" s="3">
        <v>2</v>
      </c>
      <c r="F29" s="2">
        <v>1</v>
      </c>
      <c r="G29" s="2">
        <f>467+3000</f>
        <v>3467</v>
      </c>
      <c r="H29" s="4">
        <f t="shared" si="0"/>
        <v>3467000</v>
      </c>
      <c r="I29" s="4">
        <f t="shared" si="0"/>
        <v>3467000000</v>
      </c>
      <c r="K29" s="2">
        <v>6.4</v>
      </c>
    </row>
    <row r="30" spans="1:11" x14ac:dyDescent="0.2">
      <c r="A30" s="2">
        <v>29</v>
      </c>
      <c r="B30" s="2">
        <v>240809</v>
      </c>
      <c r="C30" s="2" t="s">
        <v>28</v>
      </c>
      <c r="D30" s="2" t="s">
        <v>8</v>
      </c>
      <c r="E30" s="3">
        <v>10000</v>
      </c>
      <c r="F30" s="2">
        <v>1</v>
      </c>
      <c r="G30" s="2">
        <v>331</v>
      </c>
      <c r="H30" s="4">
        <f>G30*1000*E30</f>
        <v>3310000000</v>
      </c>
      <c r="I30" s="4">
        <f>H30*1000*F30</f>
        <v>3310000000000</v>
      </c>
      <c r="K30" s="2" t="s">
        <v>34</v>
      </c>
    </row>
    <row r="32" spans="1:11" x14ac:dyDescent="0.2">
      <c r="C32" s="2" t="s">
        <v>14</v>
      </c>
    </row>
    <row r="33" spans="3:3" x14ac:dyDescent="0.2">
      <c r="C33" s="2" t="s">
        <v>15</v>
      </c>
    </row>
    <row r="34" spans="3:3" x14ac:dyDescent="0.2">
      <c r="C34" s="2" t="s">
        <v>16</v>
      </c>
    </row>
    <row r="35" spans="3:3" x14ac:dyDescent="0.2">
      <c r="C35" s="2" t="s">
        <v>17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Beverly Fu</dc:creator>
  <cp:lastModifiedBy>Beverly Fu</cp:lastModifiedBy>
  <dcterms:created xsi:type="dcterms:W3CDTF">2025-09-17T22:29:32Z</dcterms:created>
  <dcterms:modified xsi:type="dcterms:W3CDTF">2026-04-02T21:28:16Z</dcterms:modified>
</cp:coreProperties>
</file>