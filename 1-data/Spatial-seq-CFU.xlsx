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fu/Dropbox (Personal)/Papers/NatProt gen2/Github/gen2-protocol/1-data/"/>
    </mc:Choice>
  </mc:AlternateContent>
  <xr:revisionPtr revIDLastSave="0" documentId="13_ncr:1_{476064D4-D923-3447-B735-E7EE882F9E8A}" xr6:coauthVersionLast="47" xr6:coauthVersionMax="47" xr10:uidLastSave="{00000000-0000-0000-0000-000000000000}"/>
  <bookViews>
    <workbookView xWindow="900" yWindow="1300" windowWidth="28040" windowHeight="17440" xr2:uid="{099E542F-3DD2-5744-B169-5E625E366B2C}"/>
  </bookViews>
  <sheets>
    <sheet name="Sheet1" sheetId="1" r:id="rId1"/>
    <sheet name="microscopy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0" i="1" l="1"/>
  <c r="N21" i="1"/>
  <c r="J16" i="2"/>
  <c r="J17" i="2"/>
  <c r="O30" i="1"/>
  <c r="J15" i="2"/>
  <c r="O21" i="1"/>
  <c r="J14" i="2"/>
  <c r="O28" i="1"/>
  <c r="N28" i="1"/>
  <c r="J13" i="2"/>
  <c r="O27" i="1"/>
  <c r="N27" i="1"/>
  <c r="J12" i="2"/>
  <c r="O26" i="1"/>
  <c r="N26" i="1"/>
  <c r="J11" i="2"/>
  <c r="O25" i="1"/>
  <c r="N25" i="1"/>
  <c r="J10" i="2"/>
  <c r="O24" i="1"/>
  <c r="N24" i="1"/>
  <c r="J9" i="2"/>
  <c r="O23" i="1"/>
  <c r="N23" i="1"/>
  <c r="J8" i="2"/>
  <c r="O22" i="1"/>
  <c r="N22" i="1"/>
  <c r="J7" i="2"/>
  <c r="O19" i="1"/>
  <c r="N19" i="1"/>
  <c r="J6" i="2"/>
  <c r="O18" i="1"/>
  <c r="N18" i="1"/>
  <c r="J5" i="2"/>
  <c r="O17" i="1"/>
  <c r="N17" i="1"/>
  <c r="J4" i="2"/>
  <c r="O16" i="1"/>
  <c r="N16" i="1"/>
  <c r="J3" i="2"/>
  <c r="O15" i="1"/>
  <c r="N15" i="1"/>
  <c r="J2" i="2"/>
  <c r="O14" i="1"/>
  <c r="N14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J18" i="2"/>
  <c r="K18" i="2"/>
  <c r="J19" i="2"/>
  <c r="K19" i="2"/>
  <c r="J20" i="2"/>
  <c r="K20" i="2"/>
  <c r="J21" i="2"/>
  <c r="K21" i="2"/>
  <c r="J22" i="2"/>
  <c r="K22" i="2"/>
  <c r="J23" i="2"/>
  <c r="K23" i="2"/>
  <c r="J24" i="2"/>
  <c r="K24" i="2"/>
  <c r="J25" i="2"/>
  <c r="K25" i="2"/>
  <c r="J26" i="2"/>
  <c r="K26" i="2"/>
  <c r="J27" i="2"/>
  <c r="K27" i="2"/>
  <c r="J28" i="2"/>
  <c r="K28" i="2"/>
  <c r="J29" i="2"/>
  <c r="K29" i="2"/>
  <c r="J30" i="2"/>
  <c r="K30" i="2"/>
  <c r="J31" i="2"/>
  <c r="K31" i="2"/>
  <c r="K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2" i="2"/>
  <c r="I30" i="1"/>
  <c r="J30" i="1"/>
  <c r="H29" i="1"/>
  <c r="I29" i="1"/>
  <c r="J29" i="1"/>
  <c r="H28" i="1"/>
  <c r="I28" i="1"/>
  <c r="J28" i="1"/>
  <c r="H27" i="1"/>
  <c r="I27" i="1"/>
  <c r="J27" i="1"/>
  <c r="H26" i="1"/>
  <c r="I26" i="1"/>
  <c r="J26" i="1"/>
  <c r="I25" i="1"/>
  <c r="J25" i="1"/>
  <c r="I24" i="1"/>
  <c r="J24" i="1"/>
  <c r="I23" i="1"/>
  <c r="J23" i="1"/>
  <c r="I22" i="1"/>
  <c r="J22" i="1"/>
  <c r="I21" i="1"/>
  <c r="J21" i="1"/>
  <c r="H20" i="1"/>
  <c r="I20" i="1"/>
  <c r="J20" i="1"/>
  <c r="I19" i="1"/>
  <c r="J19" i="1"/>
  <c r="I18" i="1"/>
  <c r="J18" i="1"/>
  <c r="I17" i="1"/>
  <c r="J17" i="1"/>
  <c r="I16" i="1"/>
  <c r="J16" i="1"/>
  <c r="I15" i="1"/>
  <c r="J15" i="1"/>
  <c r="I14" i="1"/>
  <c r="J14" i="1"/>
  <c r="I13" i="1"/>
  <c r="J13" i="1"/>
  <c r="I8" i="1"/>
  <c r="J8" i="1"/>
  <c r="I7" i="1"/>
  <c r="J7" i="1"/>
  <c r="I6" i="1"/>
  <c r="J6" i="1"/>
  <c r="I5" i="1"/>
  <c r="J5" i="1"/>
  <c r="I4" i="1"/>
  <c r="J4" i="1"/>
  <c r="I3" i="1"/>
  <c r="J3" i="1"/>
  <c r="I2" i="1"/>
  <c r="J2" i="1"/>
</calcChain>
</file>

<file path=xl/sharedStrings.xml><?xml version="1.0" encoding="utf-8"?>
<sst xmlns="http://schemas.openxmlformats.org/spreadsheetml/2006/main" count="248" uniqueCount="53">
  <si>
    <t>KD35</t>
  </si>
  <si>
    <t>R1</t>
  </si>
  <si>
    <t>R2</t>
  </si>
  <si>
    <t>R3</t>
  </si>
  <si>
    <t>R4</t>
  </si>
  <si>
    <t>R5</t>
  </si>
  <si>
    <t>R6</t>
  </si>
  <si>
    <t>R7</t>
  </si>
  <si>
    <t>Stool</t>
  </si>
  <si>
    <t>Date</t>
  </si>
  <si>
    <t>Subject</t>
  </si>
  <si>
    <t>Region</t>
  </si>
  <si>
    <t>Dilution</t>
  </si>
  <si>
    <t>Count</t>
  </si>
  <si>
    <t>ImageJ</t>
  </si>
  <si>
    <t>ROI imager</t>
  </si>
  <si>
    <t>Click each colony</t>
  </si>
  <si>
    <t>Save &amp; export as needed</t>
  </si>
  <si>
    <t>&gt;1000</t>
  </si>
  <si>
    <t>Plate_volume_uL</t>
  </si>
  <si>
    <t>&gt;1E10</t>
  </si>
  <si>
    <t>Notes</t>
  </si>
  <si>
    <t>lawn</t>
  </si>
  <si>
    <t>KD36</t>
  </si>
  <si>
    <t>~1E9</t>
  </si>
  <si>
    <t>CFU_mL</t>
  </si>
  <si>
    <t>NA</t>
  </si>
  <si>
    <t>KD39</t>
  </si>
  <si>
    <t>KD40</t>
  </si>
  <si>
    <t>R8</t>
  </si>
  <si>
    <t>No</t>
  </si>
  <si>
    <t>CFU_plot</t>
  </si>
  <si>
    <t>pH</t>
  </si>
  <si>
    <t>&lt;5.5</t>
  </si>
  <si>
    <t>NM</t>
  </si>
  <si>
    <t>Kit_ID</t>
  </si>
  <si>
    <t>Replicate</t>
  </si>
  <si>
    <t>Cell_count_filtered</t>
  </si>
  <si>
    <t>KD039</t>
  </si>
  <si>
    <t>1:1</t>
  </si>
  <si>
    <t>KD040</t>
  </si>
  <si>
    <t>stool</t>
  </si>
  <si>
    <t>1:100</t>
  </si>
  <si>
    <t>num_cells_live</t>
  </si>
  <si>
    <t>num_cells_dead</t>
  </si>
  <si>
    <t>num_cells_both</t>
  </si>
  <si>
    <t>live_dead_ratio</t>
  </si>
  <si>
    <t>live</t>
  </si>
  <si>
    <t>dead</t>
  </si>
  <si>
    <t>Avg_cell_count</t>
  </si>
  <si>
    <t>Avg_live_percent</t>
  </si>
  <si>
    <t>Sample_origin</t>
  </si>
  <si>
    <t>capscan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</si>
</sst>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quotePrefix="1" applyFont="1" applyAlignment="1">
      <alignment horizontal="left"/>
    </xf>
    <xf numFmtId="11" fontId="2" fillId="0" borderId="0" xfId="0" applyNumberFormat="1" applyFont="1" applyAlignment="1">
      <alignment horizontal="left"/>
    </xf>
    <xf numFmtId="11" fontId="0" fillId="0" borderId="0" xfId="0" applyNumberFormat="1"/>
    <xf numFmtId="0" fontId="0" fillId="0" borderId="0" xfId="0" quotePrefix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4CB53-86D6-644A-B7D3-990D792CFEF2}">
  <dimension ref="A1:O35"/>
  <sheetViews>
    <sheetView tabSelected="1" workbookViewId="0">
      <selection activeCell="F14" sqref="F14"/>
    </sheetView>
  </sheetViews>
  <sheetFormatPr baseColWidth="10" defaultRowHeight="16" x14ac:dyDescent="0.2"/>
  <cols>
    <col min="1" max="1" width="11" style="2" bestFit="1" customWidth="1"/>
    <col min="2" max="2" width="8.1640625" style="2" bestFit="1" customWidth="1"/>
    <col min="3" max="3" width="7.33203125" style="2" bestFit="1" customWidth="1"/>
    <col min="4" max="4" width="6.83203125" style="2" bestFit="1" customWidth="1"/>
    <col min="5" max="5" width="6.83203125" style="2" customWidth="1"/>
    <col min="6" max="6" width="7.83203125" style="2" bestFit="1" customWidth="1"/>
    <col min="7" max="7" width="12.5" style="2" bestFit="1" customWidth="1"/>
    <col min="8" max="10" width="11" style="2" bestFit="1" customWidth="1"/>
    <col min="11" max="11" width="10.83203125" style="2"/>
    <col min="12" max="12" width="11" style="2" bestFit="1" customWidth="1"/>
    <col min="13" max="16384" width="10.83203125" style="2"/>
  </cols>
  <sheetData>
    <row r="1" spans="1:15" x14ac:dyDescent="0.2">
      <c r="A1" s="1" t="s">
        <v>30</v>
      </c>
      <c r="B1" s="1" t="s">
        <v>9</v>
      </c>
      <c r="C1" s="1" t="s">
        <v>10</v>
      </c>
      <c r="D1" s="1" t="s">
        <v>11</v>
      </c>
      <c r="E1" s="1" t="s">
        <v>51</v>
      </c>
      <c r="F1" s="1" t="s">
        <v>12</v>
      </c>
      <c r="G1" s="1" t="s">
        <v>19</v>
      </c>
      <c r="H1" s="1" t="s">
        <v>13</v>
      </c>
      <c r="I1" s="1" t="s">
        <v>25</v>
      </c>
      <c r="J1" s="1" t="s">
        <v>31</v>
      </c>
      <c r="K1" s="1" t="s">
        <v>21</v>
      </c>
      <c r="L1" s="1" t="s">
        <v>32</v>
      </c>
      <c r="M1" s="7" t="s">
        <v>35</v>
      </c>
      <c r="N1" s="7" t="s">
        <v>49</v>
      </c>
      <c r="O1" s="7" t="s">
        <v>50</v>
      </c>
    </row>
    <row r="2" spans="1:15" x14ac:dyDescent="0.2">
      <c r="A2" s="2">
        <v>1</v>
      </c>
      <c r="B2" s="2">
        <v>240730</v>
      </c>
      <c r="C2" s="2" t="s">
        <v>0</v>
      </c>
      <c r="D2" s="2" t="s">
        <v>1</v>
      </c>
      <c r="E2" s="2" t="s">
        <v>52</v>
      </c>
      <c r="F2" s="3">
        <v>1</v>
      </c>
      <c r="G2" s="2">
        <v>1</v>
      </c>
      <c r="H2" s="2">
        <v>205</v>
      </c>
      <c r="I2" s="4">
        <f>H2*1000</f>
        <v>205000</v>
      </c>
      <c r="J2" s="4">
        <f>I2*1000</f>
        <v>205000000</v>
      </c>
      <c r="L2" s="2" t="s">
        <v>34</v>
      </c>
    </row>
    <row r="3" spans="1:15" x14ac:dyDescent="0.2">
      <c r="A3" s="2">
        <v>2</v>
      </c>
      <c r="B3" s="2">
        <v>240730</v>
      </c>
      <c r="C3" s="2" t="s">
        <v>0</v>
      </c>
      <c r="D3" s="2" t="s">
        <v>2</v>
      </c>
      <c r="E3" s="2" t="s">
        <v>52</v>
      </c>
      <c r="F3" s="3">
        <v>1</v>
      </c>
      <c r="G3" s="2">
        <v>1</v>
      </c>
      <c r="H3" s="2">
        <v>255</v>
      </c>
      <c r="I3" s="4">
        <f t="shared" ref="I3:J29" si="0">H3*1000</f>
        <v>255000</v>
      </c>
      <c r="J3" s="4">
        <f t="shared" si="0"/>
        <v>255000000</v>
      </c>
      <c r="L3" s="2" t="s">
        <v>34</v>
      </c>
    </row>
    <row r="4" spans="1:15" x14ac:dyDescent="0.2">
      <c r="A4" s="2">
        <v>3</v>
      </c>
      <c r="B4" s="2">
        <v>240730</v>
      </c>
      <c r="C4" s="2" t="s">
        <v>0</v>
      </c>
      <c r="D4" s="2" t="s">
        <v>3</v>
      </c>
      <c r="E4" s="2" t="s">
        <v>52</v>
      </c>
      <c r="F4" s="3">
        <v>1</v>
      </c>
      <c r="G4" s="2">
        <v>1</v>
      </c>
      <c r="H4" s="2">
        <v>338</v>
      </c>
      <c r="I4" s="4">
        <f t="shared" si="0"/>
        <v>338000</v>
      </c>
      <c r="J4" s="4">
        <f t="shared" si="0"/>
        <v>338000000</v>
      </c>
      <c r="L4" s="2" t="s">
        <v>34</v>
      </c>
    </row>
    <row r="5" spans="1:15" x14ac:dyDescent="0.2">
      <c r="A5" s="2">
        <v>4</v>
      </c>
      <c r="B5" s="2">
        <v>240730</v>
      </c>
      <c r="C5" s="2" t="s">
        <v>0</v>
      </c>
      <c r="D5" s="2" t="s">
        <v>4</v>
      </c>
      <c r="E5" s="2" t="s">
        <v>52</v>
      </c>
      <c r="F5" s="3">
        <v>1</v>
      </c>
      <c r="G5" s="2">
        <v>1</v>
      </c>
      <c r="H5" s="2">
        <v>469</v>
      </c>
      <c r="I5" s="4">
        <f t="shared" si="0"/>
        <v>469000</v>
      </c>
      <c r="J5" s="4">
        <f t="shared" si="0"/>
        <v>469000000</v>
      </c>
      <c r="L5" s="2" t="s">
        <v>34</v>
      </c>
    </row>
    <row r="6" spans="1:15" x14ac:dyDescent="0.2">
      <c r="A6" s="2">
        <v>5</v>
      </c>
      <c r="B6" s="2">
        <v>240730</v>
      </c>
      <c r="C6" s="2" t="s">
        <v>0</v>
      </c>
      <c r="D6" s="2" t="s">
        <v>5</v>
      </c>
      <c r="E6" s="2" t="s">
        <v>52</v>
      </c>
      <c r="F6" s="3">
        <v>1</v>
      </c>
      <c r="G6" s="2">
        <v>1</v>
      </c>
      <c r="H6" s="2">
        <v>229</v>
      </c>
      <c r="I6" s="4">
        <f t="shared" si="0"/>
        <v>229000</v>
      </c>
      <c r="J6" s="4">
        <f t="shared" si="0"/>
        <v>229000000</v>
      </c>
      <c r="L6" s="2" t="s">
        <v>34</v>
      </c>
    </row>
    <row r="7" spans="1:15" x14ac:dyDescent="0.2">
      <c r="A7" s="2">
        <v>6</v>
      </c>
      <c r="B7" s="2">
        <v>240730</v>
      </c>
      <c r="C7" s="2" t="s">
        <v>0</v>
      </c>
      <c r="D7" s="2" t="s">
        <v>6</v>
      </c>
      <c r="E7" s="2" t="s">
        <v>52</v>
      </c>
      <c r="F7" s="3">
        <v>1</v>
      </c>
      <c r="G7" s="2">
        <v>1</v>
      </c>
      <c r="H7" s="2">
        <v>329</v>
      </c>
      <c r="I7" s="4">
        <f t="shared" si="0"/>
        <v>329000</v>
      </c>
      <c r="J7" s="4">
        <f t="shared" si="0"/>
        <v>329000000</v>
      </c>
      <c r="L7" s="2" t="s">
        <v>34</v>
      </c>
    </row>
    <row r="8" spans="1:15" x14ac:dyDescent="0.2">
      <c r="A8" s="2">
        <v>7</v>
      </c>
      <c r="B8" s="2">
        <v>240730</v>
      </c>
      <c r="C8" s="2" t="s">
        <v>0</v>
      </c>
      <c r="D8" s="2" t="s">
        <v>7</v>
      </c>
      <c r="E8" s="2" t="s">
        <v>52</v>
      </c>
      <c r="F8" s="3">
        <v>1</v>
      </c>
      <c r="G8" s="2">
        <v>1</v>
      </c>
      <c r="H8" s="2">
        <v>323</v>
      </c>
      <c r="I8" s="4">
        <f t="shared" si="0"/>
        <v>323000</v>
      </c>
      <c r="J8" s="4">
        <f t="shared" si="0"/>
        <v>323000000</v>
      </c>
      <c r="L8" s="2" t="s">
        <v>34</v>
      </c>
    </row>
    <row r="9" spans="1:15" x14ac:dyDescent="0.2">
      <c r="A9" s="2">
        <v>8</v>
      </c>
      <c r="B9" s="2">
        <v>240730</v>
      </c>
      <c r="C9" s="2" t="s">
        <v>0</v>
      </c>
      <c r="D9" s="2" t="s">
        <v>8</v>
      </c>
      <c r="E9" s="2" t="s">
        <v>41</v>
      </c>
      <c r="F9" s="3">
        <v>10000</v>
      </c>
      <c r="G9" s="2">
        <v>1</v>
      </c>
      <c r="H9" s="2" t="s">
        <v>18</v>
      </c>
      <c r="I9" s="4" t="s">
        <v>20</v>
      </c>
      <c r="J9" s="4">
        <v>10000000000</v>
      </c>
      <c r="L9" s="2" t="s">
        <v>34</v>
      </c>
    </row>
    <row r="10" spans="1:15" x14ac:dyDescent="0.2">
      <c r="A10" s="2">
        <v>9</v>
      </c>
      <c r="B10" s="2">
        <v>240730</v>
      </c>
      <c r="C10" s="2" t="s">
        <v>23</v>
      </c>
      <c r="D10" s="2" t="s">
        <v>1</v>
      </c>
      <c r="E10" s="2" t="s">
        <v>52</v>
      </c>
      <c r="F10" s="3">
        <v>1</v>
      </c>
      <c r="G10" s="2">
        <v>1</v>
      </c>
      <c r="H10" s="2" t="s">
        <v>26</v>
      </c>
      <c r="I10" s="4" t="s">
        <v>24</v>
      </c>
      <c r="J10" s="4">
        <v>1000000000</v>
      </c>
      <c r="K10" s="2" t="s">
        <v>22</v>
      </c>
      <c r="L10" s="2" t="s">
        <v>34</v>
      </c>
    </row>
    <row r="11" spans="1:15" x14ac:dyDescent="0.2">
      <c r="A11" s="2">
        <v>10</v>
      </c>
      <c r="B11" s="2">
        <v>240730</v>
      </c>
      <c r="C11" s="2" t="s">
        <v>23</v>
      </c>
      <c r="D11" s="2" t="s">
        <v>2</v>
      </c>
      <c r="E11" s="2" t="s">
        <v>52</v>
      </c>
      <c r="F11" s="3">
        <v>1</v>
      </c>
      <c r="G11" s="2">
        <v>1</v>
      </c>
      <c r="H11" s="2" t="s">
        <v>26</v>
      </c>
      <c r="I11" s="4" t="s">
        <v>24</v>
      </c>
      <c r="J11" s="4">
        <v>1000000000</v>
      </c>
      <c r="K11" s="2" t="s">
        <v>22</v>
      </c>
      <c r="L11" s="2" t="s">
        <v>34</v>
      </c>
    </row>
    <row r="12" spans="1:15" x14ac:dyDescent="0.2">
      <c r="A12" s="2">
        <v>11</v>
      </c>
      <c r="B12" s="2">
        <v>240730</v>
      </c>
      <c r="C12" s="2" t="s">
        <v>23</v>
      </c>
      <c r="D12" s="2" t="s">
        <v>3</v>
      </c>
      <c r="E12" s="2" t="s">
        <v>52</v>
      </c>
      <c r="F12" s="3">
        <v>1</v>
      </c>
      <c r="G12" s="2">
        <v>1</v>
      </c>
      <c r="H12" s="2" t="s">
        <v>26</v>
      </c>
      <c r="I12" s="4" t="s">
        <v>24</v>
      </c>
      <c r="J12" s="4">
        <v>1000000000</v>
      </c>
      <c r="K12" s="2" t="s">
        <v>22</v>
      </c>
      <c r="L12" s="2" t="s">
        <v>34</v>
      </c>
    </row>
    <row r="13" spans="1:15" x14ac:dyDescent="0.2">
      <c r="A13" s="2">
        <v>12</v>
      </c>
      <c r="B13" s="2">
        <v>240730</v>
      </c>
      <c r="C13" s="2" t="s">
        <v>23</v>
      </c>
      <c r="D13" s="2" t="s">
        <v>8</v>
      </c>
      <c r="E13" s="2" t="s">
        <v>41</v>
      </c>
      <c r="F13" s="3">
        <v>10000</v>
      </c>
      <c r="G13" s="2">
        <v>1</v>
      </c>
      <c r="H13" s="2">
        <v>367</v>
      </c>
      <c r="I13" s="4">
        <f>H13*1000*F13</f>
        <v>3670000000</v>
      </c>
      <c r="J13" s="4">
        <f>I13*1000*G13</f>
        <v>3670000000000</v>
      </c>
      <c r="L13" s="2" t="s">
        <v>34</v>
      </c>
    </row>
    <row r="14" spans="1:15" x14ac:dyDescent="0.2">
      <c r="A14" s="2">
        <v>13</v>
      </c>
      <c r="B14" s="2">
        <v>240809</v>
      </c>
      <c r="C14" s="2" t="s">
        <v>27</v>
      </c>
      <c r="D14" s="2" t="s">
        <v>1</v>
      </c>
      <c r="E14" s="2" t="s">
        <v>52</v>
      </c>
      <c r="F14" s="3">
        <v>1</v>
      </c>
      <c r="G14" s="2">
        <v>1</v>
      </c>
      <c r="H14" s="2">
        <v>153</v>
      </c>
      <c r="I14" s="4">
        <f t="shared" si="0"/>
        <v>153000</v>
      </c>
      <c r="J14" s="4">
        <f t="shared" si="0"/>
        <v>153000000</v>
      </c>
      <c r="L14" s="2">
        <v>5.5</v>
      </c>
      <c r="M14" t="s">
        <v>38</v>
      </c>
      <c r="N14" s="5">
        <f>AVERAGE(microscopy!D2:D3)</f>
        <v>12500000</v>
      </c>
      <c r="O14">
        <f>AVERAGE(microscopy!J2:J3)</f>
        <v>40.897667146752724</v>
      </c>
    </row>
    <row r="15" spans="1:15" x14ac:dyDescent="0.2">
      <c r="A15" s="2">
        <v>14</v>
      </c>
      <c r="B15" s="2">
        <v>240809</v>
      </c>
      <c r="C15" s="2" t="s">
        <v>27</v>
      </c>
      <c r="D15" s="2" t="s">
        <v>2</v>
      </c>
      <c r="E15" s="2" t="s">
        <v>52</v>
      </c>
      <c r="F15" s="3">
        <v>1</v>
      </c>
      <c r="G15" s="2">
        <v>1</v>
      </c>
      <c r="H15" s="2">
        <v>411</v>
      </c>
      <c r="I15" s="4">
        <f t="shared" si="0"/>
        <v>411000</v>
      </c>
      <c r="J15" s="4">
        <f t="shared" si="0"/>
        <v>411000000</v>
      </c>
      <c r="L15" s="2">
        <v>5.8</v>
      </c>
      <c r="M15" t="s">
        <v>38</v>
      </c>
      <c r="N15" s="5">
        <f>AVERAGE(microscopy!D3:D4)</f>
        <v>12150000</v>
      </c>
      <c r="O15">
        <f>AVERAGE(microscopy!J3:J4)</f>
        <v>31.086021663733497</v>
      </c>
    </row>
    <row r="16" spans="1:15" x14ac:dyDescent="0.2">
      <c r="A16" s="2">
        <v>15</v>
      </c>
      <c r="B16" s="2">
        <v>240809</v>
      </c>
      <c r="C16" s="2" t="s">
        <v>27</v>
      </c>
      <c r="D16" s="2" t="s">
        <v>3</v>
      </c>
      <c r="E16" s="2" t="s">
        <v>52</v>
      </c>
      <c r="F16" s="3">
        <v>1</v>
      </c>
      <c r="G16" s="2">
        <v>1</v>
      </c>
      <c r="H16" s="2">
        <v>699</v>
      </c>
      <c r="I16" s="4">
        <f t="shared" si="0"/>
        <v>699000</v>
      </c>
      <c r="J16" s="4">
        <f t="shared" si="0"/>
        <v>699000000</v>
      </c>
      <c r="L16" s="2">
        <v>5.8</v>
      </c>
      <c r="M16" t="s">
        <v>38</v>
      </c>
      <c r="N16" s="5">
        <f>AVERAGE(microscopy!D4:D5)</f>
        <v>15150000</v>
      </c>
      <c r="O16">
        <f>AVERAGE(microscopy!J4:J5)</f>
        <v>20.049168157211287</v>
      </c>
    </row>
    <row r="17" spans="1:15" x14ac:dyDescent="0.2">
      <c r="A17" s="2">
        <v>16</v>
      </c>
      <c r="B17" s="2">
        <v>240809</v>
      </c>
      <c r="C17" s="2" t="s">
        <v>27</v>
      </c>
      <c r="D17" s="2" t="s">
        <v>4</v>
      </c>
      <c r="E17" s="2" t="s">
        <v>52</v>
      </c>
      <c r="F17" s="3">
        <v>1</v>
      </c>
      <c r="G17" s="2">
        <v>1</v>
      </c>
      <c r="H17" s="2">
        <v>669</v>
      </c>
      <c r="I17" s="4">
        <f t="shared" si="0"/>
        <v>669000</v>
      </c>
      <c r="J17" s="4">
        <f t="shared" si="0"/>
        <v>669000000</v>
      </c>
      <c r="L17" s="2">
        <v>5.8</v>
      </c>
      <c r="M17" t="s">
        <v>38</v>
      </c>
      <c r="N17" s="5">
        <f>AVERAGE(microscopy!D5:D6)</f>
        <v>23000000</v>
      </c>
      <c r="O17">
        <f>AVERAGE(microscopy!J5:J6)</f>
        <v>15.45578092009832</v>
      </c>
    </row>
    <row r="18" spans="1:15" x14ac:dyDescent="0.2">
      <c r="A18" s="2">
        <v>17</v>
      </c>
      <c r="B18" s="2">
        <v>240809</v>
      </c>
      <c r="C18" s="2" t="s">
        <v>27</v>
      </c>
      <c r="D18" s="2" t="s">
        <v>5</v>
      </c>
      <c r="E18" s="2" t="s">
        <v>52</v>
      </c>
      <c r="F18" s="3">
        <v>1</v>
      </c>
      <c r="G18" s="2">
        <v>1</v>
      </c>
      <c r="H18" s="2">
        <v>868</v>
      </c>
      <c r="I18" s="4">
        <f t="shared" si="0"/>
        <v>868000</v>
      </c>
      <c r="J18" s="4">
        <f t="shared" si="0"/>
        <v>868000000</v>
      </c>
      <c r="L18" s="2">
        <v>5.8</v>
      </c>
      <c r="M18" t="s">
        <v>38</v>
      </c>
      <c r="N18" s="5">
        <f>AVERAGE(microscopy!D6:D7)</f>
        <v>26000000</v>
      </c>
      <c r="O18">
        <f>AVERAGE(microscopy!J6:J7)</f>
        <v>14.016252241232031</v>
      </c>
    </row>
    <row r="19" spans="1:15" x14ac:dyDescent="0.2">
      <c r="A19" s="2">
        <v>18</v>
      </c>
      <c r="B19" s="2">
        <v>240809</v>
      </c>
      <c r="C19" s="2" t="s">
        <v>27</v>
      </c>
      <c r="D19" s="2" t="s">
        <v>6</v>
      </c>
      <c r="E19" s="2" t="s">
        <v>52</v>
      </c>
      <c r="F19" s="3">
        <v>1</v>
      </c>
      <c r="G19" s="2">
        <v>1</v>
      </c>
      <c r="H19" s="2">
        <v>689</v>
      </c>
      <c r="I19" s="4">
        <f t="shared" si="0"/>
        <v>689000</v>
      </c>
      <c r="J19" s="4">
        <f t="shared" si="0"/>
        <v>689000000</v>
      </c>
      <c r="L19" s="2">
        <v>6</v>
      </c>
      <c r="M19" t="s">
        <v>38</v>
      </c>
      <c r="N19" s="5">
        <f>AVERAGE(microscopy!D7:D8)</f>
        <v>27000000</v>
      </c>
      <c r="O19">
        <f>AVERAGE(microscopy!J7:J8)</f>
        <v>17.093496224898516</v>
      </c>
    </row>
    <row r="20" spans="1:15" x14ac:dyDescent="0.2">
      <c r="A20" s="2">
        <v>19</v>
      </c>
      <c r="B20" s="2">
        <v>240809</v>
      </c>
      <c r="C20" s="2" t="s">
        <v>27</v>
      </c>
      <c r="D20" s="2" t="s">
        <v>7</v>
      </c>
      <c r="E20" s="2" t="s">
        <v>52</v>
      </c>
      <c r="F20" s="3">
        <v>1</v>
      </c>
      <c r="G20" s="2">
        <v>1</v>
      </c>
      <c r="H20" s="2">
        <f>1037+200</f>
        <v>1237</v>
      </c>
      <c r="I20" s="4">
        <f t="shared" si="0"/>
        <v>1237000</v>
      </c>
      <c r="J20" s="4">
        <f t="shared" si="0"/>
        <v>1237000000</v>
      </c>
      <c r="L20" s="2">
        <v>6.2</v>
      </c>
    </row>
    <row r="21" spans="1:15" x14ac:dyDescent="0.2">
      <c r="A21" s="2">
        <v>20</v>
      </c>
      <c r="B21" s="2">
        <v>240809</v>
      </c>
      <c r="C21" s="2" t="s">
        <v>27</v>
      </c>
      <c r="D21" s="2" t="s">
        <v>8</v>
      </c>
      <c r="E21" s="2" t="s">
        <v>41</v>
      </c>
      <c r="F21" s="3">
        <v>10000</v>
      </c>
      <c r="G21" s="2">
        <v>1</v>
      </c>
      <c r="H21" s="2">
        <v>456</v>
      </c>
      <c r="I21" s="4">
        <f>H21*1000*F21</f>
        <v>4560000000</v>
      </c>
      <c r="J21" s="4">
        <f>I21*1000*G21</f>
        <v>4560000000000</v>
      </c>
      <c r="L21" s="2" t="s">
        <v>34</v>
      </c>
      <c r="M21" t="s">
        <v>38</v>
      </c>
      <c r="N21" s="5">
        <f>AVERAGE(microscopy!D15:D16)*100</f>
        <v>1210000000</v>
      </c>
      <c r="O21">
        <f>AVERAGE(microscopy!J15:J16)</f>
        <v>65.475046023001596</v>
      </c>
    </row>
    <row r="22" spans="1:15" x14ac:dyDescent="0.2">
      <c r="A22" s="2">
        <v>21</v>
      </c>
      <c r="B22" s="2">
        <v>240809</v>
      </c>
      <c r="C22" s="2" t="s">
        <v>28</v>
      </c>
      <c r="D22" s="2" t="s">
        <v>1</v>
      </c>
      <c r="E22" s="2" t="s">
        <v>52</v>
      </c>
      <c r="F22" s="3">
        <v>1</v>
      </c>
      <c r="G22" s="2">
        <v>1</v>
      </c>
      <c r="H22" s="2">
        <v>0</v>
      </c>
      <c r="I22" s="4">
        <f t="shared" si="0"/>
        <v>0</v>
      </c>
      <c r="J22" s="4">
        <f t="shared" si="0"/>
        <v>0</v>
      </c>
      <c r="L22" s="2" t="s">
        <v>33</v>
      </c>
      <c r="M22" t="s">
        <v>40</v>
      </c>
      <c r="N22" s="5">
        <f>AVERAGE(microscopy!D8:D9)</f>
        <v>26500000</v>
      </c>
      <c r="O22">
        <f>AVERAGE(microscopy!J8:J9)</f>
        <v>17.776160718502013</v>
      </c>
    </row>
    <row r="23" spans="1:15" x14ac:dyDescent="0.2">
      <c r="A23" s="2">
        <v>22</v>
      </c>
      <c r="B23" s="2">
        <v>240809</v>
      </c>
      <c r="C23" s="2" t="s">
        <v>28</v>
      </c>
      <c r="D23" s="2" t="s">
        <v>2</v>
      </c>
      <c r="E23" s="2" t="s">
        <v>52</v>
      </c>
      <c r="F23" s="3">
        <v>1</v>
      </c>
      <c r="G23" s="2">
        <v>1</v>
      </c>
      <c r="H23" s="2">
        <v>18</v>
      </c>
      <c r="I23" s="4">
        <f t="shared" si="0"/>
        <v>18000</v>
      </c>
      <c r="J23" s="4">
        <f t="shared" si="0"/>
        <v>18000000</v>
      </c>
      <c r="L23" s="2">
        <v>5.5</v>
      </c>
      <c r="M23" t="s">
        <v>40</v>
      </c>
      <c r="N23" s="5">
        <f>AVERAGE(microscopy!D9:D10)</f>
        <v>34000000</v>
      </c>
      <c r="O23">
        <f>AVERAGE(microscopy!J9:J10)</f>
        <v>11.177884662162819</v>
      </c>
    </row>
    <row r="24" spans="1:15" x14ac:dyDescent="0.2">
      <c r="A24" s="2">
        <v>23</v>
      </c>
      <c r="B24" s="2">
        <v>240809</v>
      </c>
      <c r="C24" s="2" t="s">
        <v>28</v>
      </c>
      <c r="D24" s="2" t="s">
        <v>3</v>
      </c>
      <c r="E24" s="2" t="s">
        <v>52</v>
      </c>
      <c r="F24" s="3">
        <v>1</v>
      </c>
      <c r="G24" s="2">
        <v>1</v>
      </c>
      <c r="H24" s="2">
        <v>364</v>
      </c>
      <c r="I24" s="4">
        <f t="shared" si="0"/>
        <v>364000</v>
      </c>
      <c r="J24" s="4">
        <f t="shared" si="0"/>
        <v>364000000</v>
      </c>
      <c r="L24" s="2">
        <v>5.5</v>
      </c>
      <c r="M24" t="s">
        <v>40</v>
      </c>
      <c r="N24" s="5">
        <f>AVERAGE(microscopy!D10:D11)</f>
        <v>41500000</v>
      </c>
      <c r="O24">
        <f>AVERAGE(microscopy!J10:J11)</f>
        <v>7.5804724755308444</v>
      </c>
    </row>
    <row r="25" spans="1:15" x14ac:dyDescent="0.2">
      <c r="A25" s="2">
        <v>24</v>
      </c>
      <c r="B25" s="2">
        <v>240809</v>
      </c>
      <c r="C25" s="2" t="s">
        <v>28</v>
      </c>
      <c r="D25" s="2" t="s">
        <v>4</v>
      </c>
      <c r="E25" s="2" t="s">
        <v>52</v>
      </c>
      <c r="F25" s="3">
        <v>1</v>
      </c>
      <c r="G25" s="2">
        <v>1</v>
      </c>
      <c r="H25" s="2">
        <v>601</v>
      </c>
      <c r="I25" s="4">
        <f t="shared" si="0"/>
        <v>601000</v>
      </c>
      <c r="J25" s="4">
        <f t="shared" si="0"/>
        <v>601000000</v>
      </c>
      <c r="L25" s="2">
        <v>5.8</v>
      </c>
      <c r="M25" t="s">
        <v>40</v>
      </c>
      <c r="N25" s="5">
        <f>AVERAGE(microscopy!D11:D12)</f>
        <v>49000000</v>
      </c>
      <c r="O25">
        <f>AVERAGE(microscopy!J11:J12)</f>
        <v>7.2939223288255839</v>
      </c>
    </row>
    <row r="26" spans="1:15" x14ac:dyDescent="0.2">
      <c r="A26" s="2">
        <v>25</v>
      </c>
      <c r="B26" s="2">
        <v>240809</v>
      </c>
      <c r="C26" s="2" t="s">
        <v>28</v>
      </c>
      <c r="D26" s="2" t="s">
        <v>5</v>
      </c>
      <c r="E26" s="2" t="s">
        <v>52</v>
      </c>
      <c r="F26" s="3">
        <v>1</v>
      </c>
      <c r="G26" s="2">
        <v>1</v>
      </c>
      <c r="H26" s="2">
        <f>660+300</f>
        <v>960</v>
      </c>
      <c r="I26" s="4">
        <f t="shared" si="0"/>
        <v>960000</v>
      </c>
      <c r="J26" s="4">
        <f t="shared" si="0"/>
        <v>960000000</v>
      </c>
      <c r="L26" s="2">
        <v>6</v>
      </c>
      <c r="M26" t="s">
        <v>40</v>
      </c>
      <c r="N26" s="5">
        <f>AVERAGE(microscopy!D12:D13)</f>
        <v>59500000</v>
      </c>
      <c r="O26">
        <f>AVERAGE(microscopy!J12:J13)</f>
        <v>5.702734615687798</v>
      </c>
    </row>
    <row r="27" spans="1:15" x14ac:dyDescent="0.2">
      <c r="A27" s="2">
        <v>26</v>
      </c>
      <c r="B27" s="2">
        <v>240809</v>
      </c>
      <c r="C27" s="2" t="s">
        <v>28</v>
      </c>
      <c r="D27" s="2" t="s">
        <v>6</v>
      </c>
      <c r="E27" s="2" t="s">
        <v>52</v>
      </c>
      <c r="F27" s="3">
        <v>1</v>
      </c>
      <c r="G27" s="2">
        <v>1</v>
      </c>
      <c r="H27" s="2">
        <f>515+600</f>
        <v>1115</v>
      </c>
      <c r="I27" s="4">
        <f t="shared" si="0"/>
        <v>1115000</v>
      </c>
      <c r="J27" s="4">
        <f t="shared" si="0"/>
        <v>1115000000</v>
      </c>
      <c r="L27" s="2">
        <v>6.2</v>
      </c>
      <c r="M27" t="s">
        <v>40</v>
      </c>
      <c r="N27" s="5">
        <f>AVERAGE(microscopy!D13:D14)</f>
        <v>41500000</v>
      </c>
      <c r="O27">
        <f>AVERAGE(microscopy!J13:J14)</f>
        <v>45.935946535756067</v>
      </c>
    </row>
    <row r="28" spans="1:15" x14ac:dyDescent="0.2">
      <c r="A28" s="2">
        <v>27</v>
      </c>
      <c r="B28" s="2">
        <v>240809</v>
      </c>
      <c r="C28" s="2" t="s">
        <v>28</v>
      </c>
      <c r="D28" s="2" t="s">
        <v>7</v>
      </c>
      <c r="E28" s="2" t="s">
        <v>52</v>
      </c>
      <c r="F28" s="3">
        <v>1</v>
      </c>
      <c r="G28" s="2">
        <v>1</v>
      </c>
      <c r="H28" s="2">
        <f>545+600</f>
        <v>1145</v>
      </c>
      <c r="I28" s="4">
        <f t="shared" si="0"/>
        <v>1145000</v>
      </c>
      <c r="J28" s="4">
        <f t="shared" si="0"/>
        <v>1145000000</v>
      </c>
      <c r="L28" s="2">
        <v>6.4</v>
      </c>
      <c r="M28" t="s">
        <v>40</v>
      </c>
      <c r="N28" s="5">
        <f>AVERAGE(microscopy!D14:D15)</f>
        <v>18000000</v>
      </c>
      <c r="O28">
        <f>AVERAGE(microscopy!J14:J15)</f>
        <v>81.802642460689526</v>
      </c>
    </row>
    <row r="29" spans="1:15" x14ac:dyDescent="0.2">
      <c r="A29" s="2">
        <v>28</v>
      </c>
      <c r="B29" s="2">
        <v>240809</v>
      </c>
      <c r="C29" s="2" t="s">
        <v>28</v>
      </c>
      <c r="D29" s="2" t="s">
        <v>29</v>
      </c>
      <c r="E29" s="2" t="s">
        <v>52</v>
      </c>
      <c r="F29" s="3">
        <v>2</v>
      </c>
      <c r="G29" s="2">
        <v>1</v>
      </c>
      <c r="H29" s="2">
        <f>467+3000</f>
        <v>3467</v>
      </c>
      <c r="I29" s="4">
        <f t="shared" si="0"/>
        <v>3467000</v>
      </c>
      <c r="J29" s="4">
        <f t="shared" si="0"/>
        <v>3467000000</v>
      </c>
      <c r="L29" s="2">
        <v>6.4</v>
      </c>
    </row>
    <row r="30" spans="1:15" x14ac:dyDescent="0.2">
      <c r="A30" s="2">
        <v>29</v>
      </c>
      <c r="B30" s="2">
        <v>240809</v>
      </c>
      <c r="C30" s="2" t="s">
        <v>28</v>
      </c>
      <c r="D30" s="2" t="s">
        <v>8</v>
      </c>
      <c r="E30" s="2" t="s">
        <v>41</v>
      </c>
      <c r="F30" s="3">
        <v>10000</v>
      </c>
      <c r="G30" s="2">
        <v>1</v>
      </c>
      <c r="H30" s="2">
        <v>331</v>
      </c>
      <c r="I30" s="4">
        <f>H30*1000*F30</f>
        <v>3310000000</v>
      </c>
      <c r="J30" s="4">
        <f>I30*1000*G30</f>
        <v>3310000000000</v>
      </c>
      <c r="L30" s="2" t="s">
        <v>34</v>
      </c>
      <c r="M30" t="s">
        <v>40</v>
      </c>
      <c r="N30" s="5">
        <f>AVERAGE(microscopy!D16:D17)*100</f>
        <v>680000000</v>
      </c>
      <c r="O30">
        <f>AVERAGE(microscopy!J16:J17)</f>
        <v>55.498682542707698</v>
      </c>
    </row>
    <row r="32" spans="1:15" x14ac:dyDescent="0.2">
      <c r="C32" s="2" t="s">
        <v>14</v>
      </c>
    </row>
    <row r="33" spans="3:3" x14ac:dyDescent="0.2">
      <c r="C33" s="2" t="s">
        <v>15</v>
      </c>
    </row>
    <row r="34" spans="3:3" x14ac:dyDescent="0.2">
      <c r="C34" s="2" t="s">
        <v>16</v>
      </c>
    </row>
    <row r="35" spans="3:3" x14ac:dyDescent="0.2">
      <c r="C35" s="2" t="s">
        <v>17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B93DA-FBF0-434C-9A82-FFF1E9855F3A}">
  <dimension ref="A1:O31"/>
  <sheetViews>
    <sheetView zoomScale="107" workbookViewId="0">
      <selection activeCell="P16" sqref="M1:P16"/>
    </sheetView>
  </sheetViews>
  <sheetFormatPr baseColWidth="10" defaultRowHeight="16" x14ac:dyDescent="0.2"/>
  <cols>
    <col min="1" max="1" width="6.5" bestFit="1" customWidth="1"/>
    <col min="2" max="2" width="6.83203125" bestFit="1" customWidth="1"/>
    <col min="3" max="3" width="9" bestFit="1" customWidth="1"/>
    <col min="4" max="4" width="17" bestFit="1" customWidth="1"/>
    <col min="5" max="5" width="7.6640625" bestFit="1" customWidth="1"/>
    <col min="6" max="6" width="13.33203125" bestFit="1" customWidth="1"/>
    <col min="7" max="7" width="14.5" bestFit="1" customWidth="1"/>
    <col min="8" max="8" width="14.1640625" bestFit="1" customWidth="1"/>
  </cols>
  <sheetData>
    <row r="1" spans="1:11" x14ac:dyDescent="0.2">
      <c r="A1" s="7" t="s">
        <v>35</v>
      </c>
      <c r="B1" s="7" t="s">
        <v>11</v>
      </c>
      <c r="C1" s="7" t="s">
        <v>36</v>
      </c>
      <c r="D1" s="7" t="s">
        <v>37</v>
      </c>
      <c r="E1" s="7" t="s">
        <v>12</v>
      </c>
      <c r="F1" s="7" t="s">
        <v>43</v>
      </c>
      <c r="G1" s="7" t="s">
        <v>44</v>
      </c>
      <c r="H1" s="7" t="s">
        <v>45</v>
      </c>
      <c r="I1" s="7" t="s">
        <v>46</v>
      </c>
      <c r="J1" s="7" t="s">
        <v>47</v>
      </c>
      <c r="K1" s="7" t="s">
        <v>48</v>
      </c>
    </row>
    <row r="2" spans="1:11" x14ac:dyDescent="0.2">
      <c r="A2" t="s">
        <v>38</v>
      </c>
      <c r="B2" t="s">
        <v>1</v>
      </c>
      <c r="C2">
        <v>1</v>
      </c>
      <c r="D2" s="5">
        <v>9000000</v>
      </c>
      <c r="E2" s="6" t="s">
        <v>39</v>
      </c>
      <c r="F2">
        <v>574</v>
      </c>
      <c r="G2">
        <v>548</v>
      </c>
      <c r="H2">
        <v>224</v>
      </c>
      <c r="I2">
        <f>F2/(G2+H2)</f>
        <v>0.74352331606217614</v>
      </c>
      <c r="J2">
        <f>F2/SUM(F2:H2)*100</f>
        <v>42.644873699851409</v>
      </c>
      <c r="K2">
        <f>(G2+H2)/SUM(F2:H2)*100</f>
        <v>57.355126300148584</v>
      </c>
    </row>
    <row r="3" spans="1:11" x14ac:dyDescent="0.2">
      <c r="A3" t="s">
        <v>38</v>
      </c>
      <c r="B3" t="s">
        <v>1</v>
      </c>
      <c r="C3">
        <v>2</v>
      </c>
      <c r="D3" s="5">
        <v>16000000</v>
      </c>
      <c r="E3" s="6" t="s">
        <v>39</v>
      </c>
      <c r="F3">
        <v>765</v>
      </c>
      <c r="G3">
        <v>841</v>
      </c>
      <c r="H3">
        <v>348</v>
      </c>
      <c r="I3">
        <f>F3/(G3+H3)</f>
        <v>0.64339781328847767</v>
      </c>
      <c r="J3">
        <f>F3/SUM(F3:H3)*100</f>
        <v>39.150460593654039</v>
      </c>
      <c r="K3">
        <f>(G3+H3)/SUM(F3:H3)*100</f>
        <v>60.849539406345954</v>
      </c>
    </row>
    <row r="4" spans="1:11" x14ac:dyDescent="0.2">
      <c r="A4" t="s">
        <v>38</v>
      </c>
      <c r="B4" t="s">
        <v>2</v>
      </c>
      <c r="C4">
        <v>1</v>
      </c>
      <c r="D4" s="5">
        <v>8300000</v>
      </c>
      <c r="E4" s="6" t="s">
        <v>39</v>
      </c>
      <c r="F4">
        <v>288</v>
      </c>
      <c r="G4">
        <v>829</v>
      </c>
      <c r="H4">
        <v>134</v>
      </c>
      <c r="I4">
        <f>F4/(G4+H4)</f>
        <v>0.29906542056074764</v>
      </c>
      <c r="J4">
        <f>F4/SUM(F4:H4)*100</f>
        <v>23.021582733812952</v>
      </c>
      <c r="K4">
        <f>(G4+H4)/SUM(F4:H4)*100</f>
        <v>76.978417266187051</v>
      </c>
    </row>
    <row r="5" spans="1:11" x14ac:dyDescent="0.2">
      <c r="A5" t="s">
        <v>38</v>
      </c>
      <c r="B5" t="s">
        <v>2</v>
      </c>
      <c r="C5">
        <v>2</v>
      </c>
      <c r="D5" s="5">
        <v>22000000</v>
      </c>
      <c r="E5" s="6" t="s">
        <v>39</v>
      </c>
      <c r="F5">
        <v>465</v>
      </c>
      <c r="G5">
        <v>1963</v>
      </c>
      <c r="H5">
        <v>295</v>
      </c>
      <c r="I5">
        <f>F5/(G5+H5)</f>
        <v>0.20593445527015058</v>
      </c>
      <c r="J5">
        <f>F5/SUM(F5:H5)*100</f>
        <v>17.076753580609623</v>
      </c>
      <c r="K5">
        <f>(G5+H5)/SUM(F5:H5)*100</f>
        <v>82.923246419390367</v>
      </c>
    </row>
    <row r="6" spans="1:11" x14ac:dyDescent="0.2">
      <c r="A6" t="s">
        <v>38</v>
      </c>
      <c r="B6" t="s">
        <v>3</v>
      </c>
      <c r="C6">
        <v>1</v>
      </c>
      <c r="D6" s="5">
        <v>24000000</v>
      </c>
      <c r="E6" s="6" t="s">
        <v>39</v>
      </c>
      <c r="F6">
        <v>469</v>
      </c>
      <c r="G6">
        <v>2515</v>
      </c>
      <c r="H6">
        <v>406</v>
      </c>
      <c r="I6">
        <f>F6/(G6+H6)</f>
        <v>0.16056145155768572</v>
      </c>
      <c r="J6">
        <f>F6/SUM(F6:H6)*100</f>
        <v>13.834808259587019</v>
      </c>
      <c r="K6">
        <f>(G6+H6)/SUM(F6:H6)*100</f>
        <v>86.165191740412979</v>
      </c>
    </row>
    <row r="7" spans="1:11" x14ac:dyDescent="0.2">
      <c r="A7" t="s">
        <v>38</v>
      </c>
      <c r="B7" t="s">
        <v>3</v>
      </c>
      <c r="C7">
        <v>2</v>
      </c>
      <c r="D7" s="5">
        <v>28000000</v>
      </c>
      <c r="E7" s="6" t="s">
        <v>39</v>
      </c>
      <c r="F7">
        <v>530</v>
      </c>
      <c r="G7">
        <v>2731</v>
      </c>
      <c r="H7">
        <v>472</v>
      </c>
      <c r="I7">
        <f>F7/(G7+H7)</f>
        <v>0.16546987199500468</v>
      </c>
      <c r="J7">
        <f>F7/SUM(F7:H7)*100</f>
        <v>14.197696222877044</v>
      </c>
      <c r="K7">
        <f>(G7+H7)/SUM(F7:H7)*100</f>
        <v>85.802303777122958</v>
      </c>
    </row>
    <row r="8" spans="1:11" x14ac:dyDescent="0.2">
      <c r="A8" t="s">
        <v>38</v>
      </c>
      <c r="B8" t="s">
        <v>4</v>
      </c>
      <c r="C8">
        <v>1</v>
      </c>
      <c r="D8" s="5">
        <v>26000000</v>
      </c>
      <c r="E8" s="6" t="s">
        <v>39</v>
      </c>
      <c r="F8">
        <v>747</v>
      </c>
      <c r="G8">
        <v>2451</v>
      </c>
      <c r="H8">
        <v>539</v>
      </c>
      <c r="I8">
        <f>F8/(G8+H8)</f>
        <v>0.24983277591973244</v>
      </c>
      <c r="J8">
        <f>F8/SUM(F8:H8)*100</f>
        <v>19.98929622691999</v>
      </c>
      <c r="K8">
        <f>(G8+H8)/SUM(F8:H8)*100</f>
        <v>80.01070377308001</v>
      </c>
    </row>
    <row r="9" spans="1:11" x14ac:dyDescent="0.2">
      <c r="A9" t="s">
        <v>38</v>
      </c>
      <c r="B9" t="s">
        <v>4</v>
      </c>
      <c r="C9">
        <v>2</v>
      </c>
      <c r="D9" s="5">
        <v>27000000</v>
      </c>
      <c r="E9" s="6" t="s">
        <v>39</v>
      </c>
      <c r="F9">
        <v>463</v>
      </c>
      <c r="G9">
        <v>2120</v>
      </c>
      <c r="H9">
        <v>392</v>
      </c>
      <c r="I9">
        <f>F9/(G9+H9)</f>
        <v>0.18431528662420382</v>
      </c>
      <c r="J9">
        <f>F9/SUM(F9:H9)*100</f>
        <v>15.563025210084033</v>
      </c>
      <c r="K9">
        <f>(G9+H9)/SUM(F9:H9)*100</f>
        <v>84.436974789915965</v>
      </c>
    </row>
    <row r="10" spans="1:11" x14ac:dyDescent="0.2">
      <c r="A10" t="s">
        <v>38</v>
      </c>
      <c r="B10" t="s">
        <v>5</v>
      </c>
      <c r="C10">
        <v>1</v>
      </c>
      <c r="D10" s="5">
        <v>41000000</v>
      </c>
      <c r="E10" s="6" t="s">
        <v>39</v>
      </c>
      <c r="F10">
        <v>352</v>
      </c>
      <c r="G10">
        <v>4357</v>
      </c>
      <c r="H10">
        <v>473</v>
      </c>
      <c r="I10">
        <f>F10/(G10+H10)</f>
        <v>7.2877846790890266E-2</v>
      </c>
      <c r="J10">
        <f>F10/SUM(F10:H10)*100</f>
        <v>6.7927441142416054</v>
      </c>
      <c r="K10">
        <f>(G10+H10)/SUM(F10:H10)*100</f>
        <v>93.2072558857584</v>
      </c>
    </row>
    <row r="11" spans="1:11" x14ac:dyDescent="0.2">
      <c r="A11" t="s">
        <v>38</v>
      </c>
      <c r="B11" t="s">
        <v>5</v>
      </c>
      <c r="C11">
        <v>2</v>
      </c>
      <c r="D11" s="5">
        <v>42000000</v>
      </c>
      <c r="E11" s="6" t="s">
        <v>39</v>
      </c>
      <c r="F11">
        <v>400</v>
      </c>
      <c r="G11">
        <v>3760</v>
      </c>
      <c r="H11">
        <v>620</v>
      </c>
      <c r="I11">
        <f>F11/(G11+H11)</f>
        <v>9.1324200913242004E-2</v>
      </c>
      <c r="J11">
        <f>F11/SUM(F11:H11)*100</f>
        <v>8.3682008368200833</v>
      </c>
      <c r="K11">
        <f>(G11+H11)/SUM(F11:H11)*100</f>
        <v>91.63179916317992</v>
      </c>
    </row>
    <row r="12" spans="1:11" x14ac:dyDescent="0.2">
      <c r="A12" t="s">
        <v>38</v>
      </c>
      <c r="B12" t="s">
        <v>6</v>
      </c>
      <c r="C12">
        <v>1</v>
      </c>
      <c r="D12" s="5">
        <v>56000000</v>
      </c>
      <c r="E12" s="6" t="s">
        <v>39</v>
      </c>
      <c r="F12">
        <v>461</v>
      </c>
      <c r="G12">
        <v>6299</v>
      </c>
      <c r="H12">
        <v>652</v>
      </c>
      <c r="I12">
        <f>F12/(G12+H12)</f>
        <v>6.6321392605380516E-2</v>
      </c>
      <c r="J12">
        <f>F12/SUM(F12:H12)*100</f>
        <v>6.2196438208310845</v>
      </c>
      <c r="K12">
        <f>(G12+H12)/SUM(F12:H12)*100</f>
        <v>93.780356179168905</v>
      </c>
    </row>
    <row r="13" spans="1:11" x14ac:dyDescent="0.2">
      <c r="A13" t="s">
        <v>38</v>
      </c>
      <c r="B13" t="s">
        <v>6</v>
      </c>
      <c r="C13">
        <v>2</v>
      </c>
      <c r="D13" s="5">
        <v>63000000</v>
      </c>
      <c r="E13" s="6" t="s">
        <v>39</v>
      </c>
      <c r="F13">
        <v>360</v>
      </c>
      <c r="G13">
        <v>6088</v>
      </c>
      <c r="H13">
        <v>494</v>
      </c>
      <c r="I13">
        <f>F13/(G13+H13)</f>
        <v>5.4694621695533276E-2</v>
      </c>
      <c r="J13">
        <f>F13/SUM(F13:H13)*100</f>
        <v>5.1858254105445116</v>
      </c>
      <c r="K13">
        <f>(G13+H13)/SUM(F13:H13)*100</f>
        <v>94.81417458945549</v>
      </c>
    </row>
    <row r="14" spans="1:11" x14ac:dyDescent="0.2">
      <c r="A14" t="s">
        <v>40</v>
      </c>
      <c r="B14" t="s">
        <v>1</v>
      </c>
      <c r="C14">
        <v>1</v>
      </c>
      <c r="D14" s="5">
        <v>20000000</v>
      </c>
      <c r="E14" s="6" t="s">
        <v>39</v>
      </c>
      <c r="F14">
        <v>2383</v>
      </c>
      <c r="G14">
        <v>213</v>
      </c>
      <c r="H14">
        <v>153</v>
      </c>
      <c r="I14">
        <f>F14/(G14+H14)</f>
        <v>6.5109289617486334</v>
      </c>
      <c r="J14">
        <f>F14/SUM(F14:H14)*100</f>
        <v>86.686067660967623</v>
      </c>
      <c r="K14">
        <f>(G14+H14)/SUM(F14:H14)*100</f>
        <v>13.313932339032375</v>
      </c>
    </row>
    <row r="15" spans="1:11" x14ac:dyDescent="0.2">
      <c r="A15" t="s">
        <v>40</v>
      </c>
      <c r="B15" t="s">
        <v>1</v>
      </c>
      <c r="C15">
        <v>2</v>
      </c>
      <c r="D15" s="5">
        <v>16000000</v>
      </c>
      <c r="E15" s="6" t="s">
        <v>39</v>
      </c>
      <c r="F15">
        <v>1533</v>
      </c>
      <c r="G15">
        <v>368</v>
      </c>
      <c r="H15">
        <v>92</v>
      </c>
      <c r="I15">
        <f>F15/(G15+H15)</f>
        <v>3.3326086956521741</v>
      </c>
      <c r="J15">
        <f>F15/SUM(F15:H15)*100</f>
        <v>76.919217260411443</v>
      </c>
      <c r="K15">
        <f>(G15+H15)/SUM(F15:H15)*100</f>
        <v>23.08078273958856</v>
      </c>
    </row>
    <row r="16" spans="1:11" x14ac:dyDescent="0.2">
      <c r="A16" t="s">
        <v>40</v>
      </c>
      <c r="B16" t="s">
        <v>2</v>
      </c>
      <c r="C16">
        <v>1</v>
      </c>
      <c r="D16" s="5">
        <v>8200000</v>
      </c>
      <c r="E16" s="6" t="s">
        <v>39</v>
      </c>
      <c r="F16">
        <v>630</v>
      </c>
      <c r="G16">
        <v>360</v>
      </c>
      <c r="H16">
        <v>176</v>
      </c>
      <c r="I16">
        <f>F16/(G16+H16)</f>
        <v>1.1753731343283582</v>
      </c>
      <c r="J16">
        <f>F16/SUM(F16:H16)*100</f>
        <v>54.030874785591763</v>
      </c>
      <c r="K16">
        <f>(G16+H16)/SUM(F16:H16)*100</f>
        <v>45.969125214408237</v>
      </c>
    </row>
    <row r="17" spans="1:15" x14ac:dyDescent="0.2">
      <c r="A17" t="s">
        <v>40</v>
      </c>
      <c r="B17" t="s">
        <v>2</v>
      </c>
      <c r="C17">
        <v>2</v>
      </c>
      <c r="D17" s="5">
        <v>5400000</v>
      </c>
      <c r="E17" s="6" t="s">
        <v>39</v>
      </c>
      <c r="F17">
        <v>323</v>
      </c>
      <c r="G17">
        <v>163</v>
      </c>
      <c r="H17">
        <v>81</v>
      </c>
      <c r="I17">
        <f>F17/(G17+H17)</f>
        <v>1.3237704918032787</v>
      </c>
      <c r="J17">
        <f>F17/SUM(F17:H17)*100</f>
        <v>56.966490299823633</v>
      </c>
      <c r="K17">
        <f>(G17+H17)/SUM(F17:H17)*100</f>
        <v>43.033509700176367</v>
      </c>
      <c r="O17" s="5"/>
    </row>
    <row r="18" spans="1:15" x14ac:dyDescent="0.2">
      <c r="A18" t="s">
        <v>40</v>
      </c>
      <c r="B18" t="s">
        <v>3</v>
      </c>
      <c r="C18">
        <v>1</v>
      </c>
      <c r="D18" s="5">
        <v>15000000</v>
      </c>
      <c r="E18" s="6" t="s">
        <v>39</v>
      </c>
      <c r="F18">
        <v>574</v>
      </c>
      <c r="G18">
        <v>631</v>
      </c>
      <c r="H18">
        <v>780</v>
      </c>
      <c r="I18">
        <f>F18/(G18+H18)</f>
        <v>0.40680368532955352</v>
      </c>
      <c r="J18">
        <f>F18/SUM(F18:H18)*100</f>
        <v>28.916876574307302</v>
      </c>
      <c r="K18">
        <f>(G18+H18)/SUM(F18:H18)*100</f>
        <v>71.08312342569269</v>
      </c>
      <c r="O18" s="5"/>
    </row>
    <row r="19" spans="1:15" x14ac:dyDescent="0.2">
      <c r="A19" t="s">
        <v>40</v>
      </c>
      <c r="B19" t="s">
        <v>3</v>
      </c>
      <c r="C19">
        <v>2</v>
      </c>
      <c r="D19" s="5">
        <v>15000000</v>
      </c>
      <c r="E19" s="6" t="s">
        <v>39</v>
      </c>
      <c r="F19">
        <v>479</v>
      </c>
      <c r="G19">
        <v>768</v>
      </c>
      <c r="H19">
        <v>522</v>
      </c>
      <c r="I19">
        <f>F19/(G19+H19)</f>
        <v>0.37131782945736436</v>
      </c>
      <c r="J19">
        <f>F19/SUM(F19:H19)*100</f>
        <v>27.077444884115319</v>
      </c>
      <c r="K19">
        <f>(G19+H19)/SUM(F19:H19)*100</f>
        <v>72.922555115884677</v>
      </c>
      <c r="O19" s="5"/>
    </row>
    <row r="20" spans="1:15" x14ac:dyDescent="0.2">
      <c r="A20" t="s">
        <v>40</v>
      </c>
      <c r="B20" t="s">
        <v>4</v>
      </c>
      <c r="C20">
        <v>1</v>
      </c>
      <c r="D20" s="5">
        <v>44000000</v>
      </c>
      <c r="E20" s="6" t="s">
        <v>39</v>
      </c>
      <c r="F20">
        <v>1366</v>
      </c>
      <c r="G20">
        <v>2549</v>
      </c>
      <c r="H20">
        <v>2010</v>
      </c>
      <c r="I20">
        <f>F20/(G20+H20)</f>
        <v>0.29962711120859836</v>
      </c>
      <c r="J20">
        <f>F20/SUM(F20:H20)*100</f>
        <v>23.054852320675106</v>
      </c>
      <c r="K20">
        <f>(G20+H20)/SUM(F20:H20)*100</f>
        <v>76.945147679324904</v>
      </c>
      <c r="O20" s="5"/>
    </row>
    <row r="21" spans="1:15" x14ac:dyDescent="0.2">
      <c r="A21" t="s">
        <v>40</v>
      </c>
      <c r="B21" t="s">
        <v>4</v>
      </c>
      <c r="C21">
        <v>2</v>
      </c>
      <c r="D21" s="5">
        <v>41000000</v>
      </c>
      <c r="E21" s="6" t="s">
        <v>39</v>
      </c>
      <c r="F21">
        <v>788</v>
      </c>
      <c r="G21">
        <v>2890</v>
      </c>
      <c r="H21">
        <v>923</v>
      </c>
      <c r="I21">
        <f>F21/(G21+H21)</f>
        <v>0.20666142145292421</v>
      </c>
      <c r="J21">
        <f>F21/SUM(F21:H21)*100</f>
        <v>17.126711584438166</v>
      </c>
      <c r="K21">
        <f>(G21+H21)/SUM(F21:H21)*100</f>
        <v>82.873288415561831</v>
      </c>
      <c r="O21" s="5"/>
    </row>
    <row r="22" spans="1:15" x14ac:dyDescent="0.2">
      <c r="A22" t="s">
        <v>40</v>
      </c>
      <c r="B22" t="s">
        <v>5</v>
      </c>
      <c r="C22">
        <v>1</v>
      </c>
      <c r="D22" s="5">
        <v>89000000</v>
      </c>
      <c r="E22" s="6" t="s">
        <v>39</v>
      </c>
      <c r="F22">
        <v>1945</v>
      </c>
      <c r="G22">
        <v>6696</v>
      </c>
      <c r="H22">
        <v>2759</v>
      </c>
      <c r="I22">
        <f>F22/(G22+H22)</f>
        <v>0.20571126388154415</v>
      </c>
      <c r="J22">
        <f>F22/SUM(F22:H22)*100</f>
        <v>17.061403508771932</v>
      </c>
      <c r="K22">
        <f>(G22+H22)/SUM(F22:H22)*100</f>
        <v>82.938596491228068</v>
      </c>
      <c r="O22" s="5"/>
    </row>
    <row r="23" spans="1:15" x14ac:dyDescent="0.2">
      <c r="A23" t="s">
        <v>40</v>
      </c>
      <c r="B23" t="s">
        <v>5</v>
      </c>
      <c r="C23">
        <v>2</v>
      </c>
      <c r="D23" s="5">
        <v>87000000</v>
      </c>
      <c r="E23" s="6" t="s">
        <v>39</v>
      </c>
      <c r="F23">
        <v>1366</v>
      </c>
      <c r="G23">
        <v>5220</v>
      </c>
      <c r="H23">
        <v>1687</v>
      </c>
      <c r="I23">
        <f>F23/(G23+H23)</f>
        <v>0.19777037787751556</v>
      </c>
      <c r="J23">
        <f>F23/SUM(F23:H23)*100</f>
        <v>16.511543575486524</v>
      </c>
      <c r="K23">
        <f>(G23+H23)/SUM(F23:H23)*100</f>
        <v>83.488456424513487</v>
      </c>
      <c r="O23" s="5"/>
    </row>
    <row r="24" spans="1:15" x14ac:dyDescent="0.2">
      <c r="A24" t="s">
        <v>40</v>
      </c>
      <c r="B24" t="s">
        <v>6</v>
      </c>
      <c r="C24">
        <v>1</v>
      </c>
      <c r="D24" s="5">
        <v>210000000</v>
      </c>
      <c r="E24" s="6" t="s">
        <v>39</v>
      </c>
      <c r="F24">
        <v>2705</v>
      </c>
      <c r="G24">
        <v>20918</v>
      </c>
      <c r="H24">
        <v>3099</v>
      </c>
      <c r="I24">
        <f>F24/(G24+H24)</f>
        <v>0.11262855477370196</v>
      </c>
      <c r="J24">
        <f>F24/SUM(F24:H24)*100</f>
        <v>10.122745303495249</v>
      </c>
      <c r="K24">
        <f>(G24+H24)/SUM(F24:H24)*100</f>
        <v>89.87725469650475</v>
      </c>
      <c r="O24" s="5"/>
    </row>
    <row r="25" spans="1:15" x14ac:dyDescent="0.2">
      <c r="A25" t="s">
        <v>40</v>
      </c>
      <c r="B25" t="s">
        <v>6</v>
      </c>
      <c r="C25">
        <v>2</v>
      </c>
      <c r="D25" s="5">
        <v>210000000</v>
      </c>
      <c r="E25" s="6" t="s">
        <v>39</v>
      </c>
      <c r="F25">
        <v>1726</v>
      </c>
      <c r="G25">
        <v>17908</v>
      </c>
      <c r="H25">
        <v>1676</v>
      </c>
      <c r="I25">
        <f>F25/(G25+H25)</f>
        <v>8.8133169934640529E-2</v>
      </c>
      <c r="J25">
        <f>F25/SUM(F25:H25)*100</f>
        <v>8.0994838104176452</v>
      </c>
      <c r="K25">
        <f>(G25+H25)/SUM(F25:H25)*100</f>
        <v>91.900516189582362</v>
      </c>
      <c r="O25" s="5"/>
    </row>
    <row r="26" spans="1:15" x14ac:dyDescent="0.2">
      <c r="A26" t="s">
        <v>40</v>
      </c>
      <c r="B26" t="s">
        <v>7</v>
      </c>
      <c r="C26">
        <v>1</v>
      </c>
      <c r="D26" s="5">
        <v>270000000</v>
      </c>
      <c r="E26" s="6" t="s">
        <v>39</v>
      </c>
      <c r="F26">
        <v>4923</v>
      </c>
      <c r="G26">
        <v>26888</v>
      </c>
      <c r="H26">
        <v>6462</v>
      </c>
      <c r="I26">
        <f>F26/(G26+H26)</f>
        <v>0.14761619190404798</v>
      </c>
      <c r="J26">
        <f>F26/SUM(F26:H26)*100</f>
        <v>12.862853708880934</v>
      </c>
      <c r="K26">
        <f>(G26+H26)/SUM(F26:H26)*100</f>
        <v>87.137146291119066</v>
      </c>
      <c r="O26" s="5"/>
    </row>
    <row r="27" spans="1:15" x14ac:dyDescent="0.2">
      <c r="A27" t="s">
        <v>40</v>
      </c>
      <c r="B27" t="s">
        <v>7</v>
      </c>
      <c r="C27">
        <v>2</v>
      </c>
      <c r="D27" s="5">
        <v>320000000</v>
      </c>
      <c r="E27" s="6" t="s">
        <v>39</v>
      </c>
      <c r="F27">
        <v>9746</v>
      </c>
      <c r="G27">
        <v>17237</v>
      </c>
      <c r="H27">
        <v>18241</v>
      </c>
      <c r="I27">
        <f>F27/(G27+H27)</f>
        <v>0.27470545126557305</v>
      </c>
      <c r="J27">
        <f>F27/SUM(F27:H27)*100</f>
        <v>21.550504157084735</v>
      </c>
      <c r="K27">
        <f>(G27+H27)/SUM(F27:H27)*100</f>
        <v>78.449495842915269</v>
      </c>
      <c r="O27" s="5"/>
    </row>
    <row r="28" spans="1:15" x14ac:dyDescent="0.2">
      <c r="A28" t="s">
        <v>38</v>
      </c>
      <c r="B28" t="s">
        <v>41</v>
      </c>
      <c r="C28">
        <v>1</v>
      </c>
      <c r="D28" s="5">
        <v>6700000000</v>
      </c>
      <c r="E28" s="6" t="s">
        <v>42</v>
      </c>
      <c r="F28">
        <v>3668</v>
      </c>
      <c r="G28">
        <v>313</v>
      </c>
      <c r="H28">
        <v>373</v>
      </c>
      <c r="I28">
        <f>F28/(G28+H28)</f>
        <v>5.3469387755102042</v>
      </c>
      <c r="J28">
        <f>F28/SUM(F28:H28)*100</f>
        <v>84.244372990353696</v>
      </c>
      <c r="K28">
        <f>(G28+H28)/SUM(F28:H28)*100</f>
        <v>15.755627009646304</v>
      </c>
      <c r="O28" s="5"/>
    </row>
    <row r="29" spans="1:15" x14ac:dyDescent="0.2">
      <c r="A29" t="s">
        <v>38</v>
      </c>
      <c r="B29" t="s">
        <v>41</v>
      </c>
      <c r="C29">
        <v>2</v>
      </c>
      <c r="D29" s="5">
        <v>7400000000</v>
      </c>
      <c r="E29" s="6" t="s">
        <v>42</v>
      </c>
      <c r="F29">
        <v>5014</v>
      </c>
      <c r="G29">
        <v>309</v>
      </c>
      <c r="H29">
        <v>661</v>
      </c>
      <c r="I29">
        <f>F29/(G29+H29)</f>
        <v>5.1690721649484539</v>
      </c>
      <c r="J29">
        <f>F29/SUM(F29:H29)*100</f>
        <v>83.79010695187165</v>
      </c>
      <c r="K29">
        <f>(G29+H29)/SUM(F29:H29)*100</f>
        <v>16.209893048128343</v>
      </c>
      <c r="O29" s="5"/>
    </row>
    <row r="30" spans="1:15" x14ac:dyDescent="0.2">
      <c r="A30" t="s">
        <v>40</v>
      </c>
      <c r="B30" t="s">
        <v>41</v>
      </c>
      <c r="C30">
        <v>1</v>
      </c>
      <c r="D30" s="5">
        <v>2100000000</v>
      </c>
      <c r="E30" s="6" t="s">
        <v>42</v>
      </c>
      <c r="F30">
        <v>1086</v>
      </c>
      <c r="G30">
        <v>5</v>
      </c>
      <c r="H30">
        <v>129</v>
      </c>
      <c r="I30">
        <f>F30/(G30+H30)</f>
        <v>8.1044776119402986</v>
      </c>
      <c r="J30">
        <f>F30/SUM(F30:H30)*100</f>
        <v>89.016393442622956</v>
      </c>
      <c r="K30">
        <f>(G30+H30)/SUM(F30:H30)*100</f>
        <v>10.983606557377049</v>
      </c>
      <c r="O30" s="5"/>
    </row>
    <row r="31" spans="1:15" x14ac:dyDescent="0.2">
      <c r="A31" t="s">
        <v>40</v>
      </c>
      <c r="B31" t="s">
        <v>41</v>
      </c>
      <c r="C31">
        <v>2</v>
      </c>
      <c r="D31" s="5">
        <v>2000000000</v>
      </c>
      <c r="E31" s="6" t="s">
        <v>42</v>
      </c>
      <c r="F31">
        <v>1444</v>
      </c>
      <c r="G31">
        <v>17</v>
      </c>
      <c r="H31">
        <v>252</v>
      </c>
      <c r="I31">
        <f>F31/(G31+H31)</f>
        <v>5.3680297397769516</v>
      </c>
      <c r="J31">
        <f>F31/SUM(F31:H31)*100</f>
        <v>84.296555750145941</v>
      </c>
      <c r="K31">
        <f>(G31+H31)/SUM(F31:H31)*100</f>
        <v>15.703444249854057</v>
      </c>
      <c r="O31" s="5"/>
    </row>
  </sheetData>
  <phoneticPr fontId="1" type="noConversion"/>
  <conditionalFormatting sqref="J1:J104857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J3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microscopy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Beverly Fu</dc:creator>
  <cp:lastModifiedBy>Beverly Fu</cp:lastModifiedBy>
  <dcterms:created xsi:type="dcterms:W3CDTF">2025-09-17T22:29:32Z</dcterms:created>
  <dcterms:modified xsi:type="dcterms:W3CDTF">2026-05-11T18:14:47Z</dcterms:modified>
</cp:coreProperties>
</file>