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Papers/NatProt gen2/Github/gen2-protocol/1-data/"/>
    </mc:Choice>
  </mc:AlternateContent>
  <xr:revisionPtr revIDLastSave="0" documentId="8_{A39EB7A2-408F-0947-90CF-5F72D73F256D}" xr6:coauthVersionLast="47" xr6:coauthVersionMax="47" xr10:uidLastSave="{00000000-0000-0000-0000-000000000000}"/>
  <bookViews>
    <workbookView xWindow="1900" yWindow="1900" windowWidth="27240" windowHeight="16180" xr2:uid="{E2DC65C7-506D-A644-B094-E917D8BD5E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<sst xmlns="http://schemas.openxmlformats.org/spreadsheetml/2006/main" count="535" uniqueCount="261">
  <si>
    <t>Sample</t>
  </si>
  <si>
    <t>Submitted_name</t>
  </si>
  <si>
    <t>Sequencer</t>
  </si>
  <si>
    <t>round1index</t>
  </si>
  <si>
    <t>Index_name1</t>
  </si>
  <si>
    <t>Index1</t>
  </si>
  <si>
    <t>Index_name2</t>
  </si>
  <si>
    <t>Index2</t>
  </si>
  <si>
    <t>Plate</t>
  </si>
  <si>
    <t>Well</t>
  </si>
  <si>
    <t>Plate_name</t>
  </si>
  <si>
    <t>Sample_ID</t>
  </si>
  <si>
    <t>Capsule_ID</t>
  </si>
  <si>
    <t>Tip_color</t>
  </si>
  <si>
    <t>Kit_ID</t>
  </si>
  <si>
    <t>Sample_origin</t>
  </si>
  <si>
    <t>Region</t>
  </si>
  <si>
    <t>pH</t>
  </si>
  <si>
    <t>Processing_date</t>
  </si>
  <si>
    <t>Receive_date</t>
  </si>
  <si>
    <t>Drops</t>
  </si>
  <si>
    <t>16S-P7-A1-G12-L2_SS0001-KD035-240730-capscan</t>
  </si>
  <si>
    <t>NextSeq2000P2</t>
  </si>
  <si>
    <t>CZB-NXT-i7-02999</t>
  </si>
  <si>
    <t>AAATGTGCGGTC</t>
  </si>
  <si>
    <t>CZB-NXT-i5-02615</t>
  </si>
  <si>
    <t>TCAAATCTGCCC</t>
  </si>
  <si>
    <t>P3</t>
  </si>
  <si>
    <t>G12</t>
  </si>
  <si>
    <t>SpatialSeq</t>
  </si>
  <si>
    <t>SS0001</t>
  </si>
  <si>
    <t>4D9D0D07530104E0</t>
  </si>
  <si>
    <t>white</t>
  </si>
  <si>
    <t>KD035</t>
  </si>
  <si>
    <t>capscan</t>
  </si>
  <si>
    <t>R1</t>
  </si>
  <si>
    <t>&lt;5.7</t>
  </si>
  <si>
    <t>16S-P7-A1-H01-L2_SS0002-KD035-240730-capscan</t>
  </si>
  <si>
    <t>CZB-NXT-i7-03025</t>
  </si>
  <si>
    <t>TCCTTGTGCCAG</t>
  </si>
  <si>
    <t>CZB-NXT-i5-02641</t>
  </si>
  <si>
    <t>CTCCTTGGATAG</t>
  </si>
  <si>
    <t>H01</t>
  </si>
  <si>
    <t>SS0002</t>
  </si>
  <si>
    <t>R2</t>
  </si>
  <si>
    <t>16S-P7-A1-H02-L2_SS0003-KD035-240730-capscan</t>
  </si>
  <si>
    <t>CZB-NXT-i7-03027</t>
  </si>
  <si>
    <t>TAGAGCCTGTCG</t>
  </si>
  <si>
    <t>CZB-NXT-i5-02643</t>
  </si>
  <si>
    <t>TTTCCTGTGGAT</t>
  </si>
  <si>
    <t>H02</t>
  </si>
  <si>
    <t>SS0003</t>
  </si>
  <si>
    <t>R3</t>
  </si>
  <si>
    <t>16S-P7-A1-H03-L2_SS0004-KD035-240730-capscan</t>
  </si>
  <si>
    <t>CZB-NXT-i7-03029</t>
  </si>
  <si>
    <t>TATGCCGACTCT</t>
  </si>
  <si>
    <t>CZB-NXT-i5-02645</t>
  </si>
  <si>
    <t>TCCAAAGGCACT</t>
  </si>
  <si>
    <t>H03</t>
  </si>
  <si>
    <t>SS0004</t>
  </si>
  <si>
    <t>R4</t>
  </si>
  <si>
    <t>16S-P7-A1-H04-L2_SS0005-KD035-240730-capscan</t>
  </si>
  <si>
    <t>CZB-NXT-i7-03031</t>
  </si>
  <si>
    <t>GCGGCGACACAC</t>
  </si>
  <si>
    <t>CZB-NXT-i5-02647</t>
  </si>
  <si>
    <t>AGGGTTCGGGCG</t>
  </si>
  <si>
    <t>H04</t>
  </si>
  <si>
    <t>SS0005</t>
  </si>
  <si>
    <t>R5</t>
  </si>
  <si>
    <t>16S-P7-A1-H05-L2_SS0006-KD035-240730-capscan</t>
  </si>
  <si>
    <t>CZB-NXT-i7-03033</t>
  </si>
  <si>
    <t>TCCCTCAGGCTT</t>
  </si>
  <si>
    <t>CZB-NXT-i5-02649</t>
  </si>
  <si>
    <t>GGGCGGGCACTT</t>
  </si>
  <si>
    <t>H05</t>
  </si>
  <si>
    <t>SS0006</t>
  </si>
  <si>
    <t>R6</t>
  </si>
  <si>
    <t>16S-P7-A1-H06-L2_SS0007-KD035-240730-capscan</t>
  </si>
  <si>
    <t>CZB-NXT-i7-03035</t>
  </si>
  <si>
    <t>CATAGTCGTAAA</t>
  </si>
  <si>
    <t>CZB-NXT-i5-02651</t>
  </si>
  <si>
    <t>TAACCAACCTAT</t>
  </si>
  <si>
    <t>H06</t>
  </si>
  <si>
    <t>SS0007</t>
  </si>
  <si>
    <t>R7</t>
  </si>
  <si>
    <t>NM</t>
  </si>
  <si>
    <t>16S-P7-A1-D01-L5_SS0008-KD035-240730-stool</t>
  </si>
  <si>
    <t>CZB-NXT-i7-02833</t>
  </si>
  <si>
    <t>GCTACAGCGTGG</t>
  </si>
  <si>
    <t>CZB-NXT-i5-02449</t>
  </si>
  <si>
    <t>GCGGAGTAGTGC</t>
  </si>
  <si>
    <t>P6</t>
  </si>
  <si>
    <t>D01</t>
  </si>
  <si>
    <t>SS0008</t>
  </si>
  <si>
    <t>NA</t>
  </si>
  <si>
    <t>stool</t>
  </si>
  <si>
    <t>16S-P7-A1-H08-L3_SS0009-KD035-240730-saliva</t>
  </si>
  <si>
    <t>CZB-NXT-i7-03039</t>
  </si>
  <si>
    <t>CTGTTCTTGAGG</t>
  </si>
  <si>
    <t>CZB-NXT-i5-02655</t>
  </si>
  <si>
    <t>GGCAAAGGAGTA</t>
  </si>
  <si>
    <t>P4</t>
  </si>
  <si>
    <t>H08</t>
  </si>
  <si>
    <t>SS0009</t>
  </si>
  <si>
    <t>saliva</t>
  </si>
  <si>
    <t>16S-P7-A1-H07-L2_SS0011-KD036-240730-capscan</t>
  </si>
  <si>
    <t>CZB-NXT-i7-03037</t>
  </si>
  <si>
    <t>TTCGTAAGTGTG</t>
  </si>
  <si>
    <t>CZB-NXT-i5-02653</t>
  </si>
  <si>
    <t>TCTCGGGACTCA</t>
  </si>
  <si>
    <t>H07</t>
  </si>
  <si>
    <t>SS0011</t>
  </si>
  <si>
    <t>7D3A0E07530104E0</t>
  </si>
  <si>
    <t>KD036</t>
  </si>
  <si>
    <t>16S-P7-A1-H08-L2_SS0012-KD036-240730-capscan</t>
  </si>
  <si>
    <t>SS0012</t>
  </si>
  <si>
    <t>16S-P7-A1-H09-L2_SS0013-KD036-240730-capscan</t>
  </si>
  <si>
    <t>CZB-NXT-i7-03041</t>
  </si>
  <si>
    <t>TAAGAGCAGCGG</t>
  </si>
  <si>
    <t>CZB-NXT-i5-02657</t>
  </si>
  <si>
    <t>GGGACACTAAAT</t>
  </si>
  <si>
    <t>H09</t>
  </si>
  <si>
    <t>SS0013</t>
  </si>
  <si>
    <t>16S-P7-A1-D02-L5_SS0014-KD036-240730-stool</t>
  </si>
  <si>
    <t>CZB-NXT-i7-02835</t>
  </si>
  <si>
    <t>TTTGCTTGCCGC</t>
  </si>
  <si>
    <t>CZB-NXT-i5-02451</t>
  </si>
  <si>
    <t>CACCATAAGACC</t>
  </si>
  <si>
    <t>D02</t>
  </si>
  <si>
    <t>SS0014</t>
  </si>
  <si>
    <t>16S-P7-A1-H09-L3_SS0015-KD036-240730-saliva</t>
  </si>
  <si>
    <t>SS0015</t>
  </si>
  <si>
    <t>16S-P7-A1-H10-L2_SS0016-KD039-240809-capscan</t>
  </si>
  <si>
    <t>CZB-NXT-i7-03043</t>
  </si>
  <si>
    <t>TGGTATGCCTAC</t>
  </si>
  <si>
    <t>CZB-NXT-i5-02659</t>
  </si>
  <si>
    <t>TACAACTTTCAG</t>
  </si>
  <si>
    <t>H10</t>
  </si>
  <si>
    <t>SS0016</t>
  </si>
  <si>
    <t>8BC30E07530104E0</t>
  </si>
  <si>
    <t>KD039</t>
  </si>
  <si>
    <t>16S-P7-A1-H11-L2_SS0017-KD039-240809-capscan</t>
  </si>
  <si>
    <t>CZB-NXT-i7-03045</t>
  </si>
  <si>
    <t>TTTGGTAGTAGG</t>
  </si>
  <si>
    <t>CZB-NXT-i5-02661</t>
  </si>
  <si>
    <t>ACCATCGCTATT</t>
  </si>
  <si>
    <t>H11</t>
  </si>
  <si>
    <t>SS0017</t>
  </si>
  <si>
    <t>16S-P7-A1-H12-L2_SS0018-KD039-240809-capscan</t>
  </si>
  <si>
    <t>CZB-NXT-i7-03047</t>
  </si>
  <si>
    <t>GAACATTAGTCG</t>
  </si>
  <si>
    <t>CZB-NXT-i5-02663</t>
  </si>
  <si>
    <t>TTGTCAATCGGA</t>
  </si>
  <si>
    <t>H12</t>
  </si>
  <si>
    <t>SS0018</t>
  </si>
  <si>
    <t>16S-P7-A1-A01-L3_SS0019-KD039-240809-capscan</t>
  </si>
  <si>
    <t>CZB-NXT-i7-02689</t>
  </si>
  <si>
    <t>CGGAATACCACG</t>
  </si>
  <si>
    <t>CZB-NXT-i5-02305</t>
  </si>
  <si>
    <t>ATACTACAGAAG</t>
  </si>
  <si>
    <t>A01</t>
  </si>
  <si>
    <t>SS0019</t>
  </si>
  <si>
    <t>16S-P7-A1-A02-L3_SS0020-KD039-240809-capscan</t>
  </si>
  <si>
    <t>CZB-NXT-i7-02691</t>
  </si>
  <si>
    <t>AGAACGCTAACG</t>
  </si>
  <si>
    <t>CZB-NXT-i5-02307</t>
  </si>
  <si>
    <t>TGACAGGTAATC</t>
  </si>
  <si>
    <t>A02</t>
  </si>
  <si>
    <t>SS0020</t>
  </si>
  <si>
    <t>16S-P7-A1-A03-L3_SS0021-KD039-240809-capscan</t>
  </si>
  <si>
    <t>CZB-NXT-i7-02693</t>
  </si>
  <si>
    <t>GGACCCTATGCC</t>
  </si>
  <si>
    <t>CZB-NXT-i5-02309</t>
  </si>
  <si>
    <t>GTGCGATTTATC</t>
  </si>
  <si>
    <t>A03</t>
  </si>
  <si>
    <t>SS0021</t>
  </si>
  <si>
    <t>16S-P7-A1-A04-L3_SS0022-KD039-240809-capscan</t>
  </si>
  <si>
    <t>CZB-NXT-i7-02695</t>
  </si>
  <si>
    <t>CTGCGTTTCCGC</t>
  </si>
  <si>
    <t>CZB-NXT-i5-02311</t>
  </si>
  <si>
    <t>TGATGCCTCGGG</t>
  </si>
  <si>
    <t>A04</t>
  </si>
  <si>
    <t>SS0022</t>
  </si>
  <si>
    <t>16S-P7-A1-D03-L5_SS0023-KD039-240809-stool</t>
  </si>
  <si>
    <t>CZB-NXT-i7-02837</t>
  </si>
  <si>
    <t>TCGCCGCTCTAT</t>
  </si>
  <si>
    <t>CZB-NXT-i5-02453</t>
  </si>
  <si>
    <t>CAGCGAGCAGCC</t>
  </si>
  <si>
    <t>D03</t>
  </si>
  <si>
    <t>SS0023</t>
  </si>
  <si>
    <t>16S-P7-A1-H10-L3_SS0024-KD039-240809-saliva</t>
  </si>
  <si>
    <t>SS0024</t>
  </si>
  <si>
    <t>16S-P7-A1-A05-L3_SS0026-KD040-240809-capscan</t>
  </si>
  <si>
    <t>CZB-NXT-i7-02697</t>
  </si>
  <si>
    <t>TGGCGTTCAGGG</t>
  </si>
  <si>
    <t>CZB-NXT-i5-02313</t>
  </si>
  <si>
    <t>TTCTTTATGAAC</t>
  </si>
  <si>
    <t>A05</t>
  </si>
  <si>
    <t>SS0026</t>
  </si>
  <si>
    <t>936D0E07530104E0</t>
  </si>
  <si>
    <t>KD040</t>
  </si>
  <si>
    <t>&lt;5.5</t>
  </si>
  <si>
    <t>16S-P7-A1-A06-L3_SS0027-KD040-240809-capscan</t>
  </si>
  <si>
    <t>CZB-NXT-i7-02699</t>
  </si>
  <si>
    <t>TGTGACGCCTGG</t>
  </si>
  <si>
    <t>CZB-NXT-i5-02315</t>
  </si>
  <si>
    <t>GAAATCGGCGAC</t>
  </si>
  <si>
    <t>A06</t>
  </si>
  <si>
    <t>SS0027</t>
  </si>
  <si>
    <t>16S-P7-A1-A07-L3_SS0028-KD040-240809-capscan</t>
  </si>
  <si>
    <t>CZB-NXT-i7-02701</t>
  </si>
  <si>
    <t>TGCCGAACATCA</t>
  </si>
  <si>
    <t>CZB-NXT-i5-02317</t>
  </si>
  <si>
    <t>CGACACGATACG</t>
  </si>
  <si>
    <t>A07</t>
  </si>
  <si>
    <t>SS0028</t>
  </si>
  <si>
    <t>16S-P7-A1-A08-L3_SS0029-KD040-240809-capscan</t>
  </si>
  <si>
    <t>CZB-NXT-i7-02703</t>
  </si>
  <si>
    <t>CTGGTCAACGCC</t>
  </si>
  <si>
    <t>CZB-NXT-i5-02319</t>
  </si>
  <si>
    <t>AGCGTTGGTTAG</t>
  </si>
  <si>
    <t>A08</t>
  </si>
  <si>
    <t>SS0029</t>
  </si>
  <si>
    <t>16S-P7-A1-A09-L3_SS0030-KD040-240809-capscan</t>
  </si>
  <si>
    <t>CZB-NXT-i7-02705</t>
  </si>
  <si>
    <t>TCCTCTCTGCCA</t>
  </si>
  <si>
    <t>CZB-NXT-i5-02321</t>
  </si>
  <si>
    <t>TGACGCTCCATC</t>
  </si>
  <si>
    <t>A09</t>
  </si>
  <si>
    <t>SS0030</t>
  </si>
  <si>
    <t>16S-P7-A1-A10-L3_SS0031-KD040-240809-capscan</t>
  </si>
  <si>
    <t>CZB-NXT-i7-02707</t>
  </si>
  <si>
    <t>CGTTCCATCTGA</t>
  </si>
  <si>
    <t>CZB-NXT-i5-02323</t>
  </si>
  <si>
    <t>TCTGGATGGTTA</t>
  </si>
  <si>
    <t>A10</t>
  </si>
  <si>
    <t>SS0031</t>
  </si>
  <si>
    <t>16S-P7-A1-A11-L3_SS0032-KD040-240809-capscan</t>
  </si>
  <si>
    <t>CZB-NXT-i7-02709</t>
  </si>
  <si>
    <t>TTTCTCCATACG</t>
  </si>
  <si>
    <t>CZB-NXT-i5-02325</t>
  </si>
  <si>
    <t>TCAGCGTGGAAT</t>
  </si>
  <si>
    <t>A11</t>
  </si>
  <si>
    <t>SS0032</t>
  </si>
  <si>
    <t>16S-P7-A1-A12-L3_SS0033-KD040-240809-capscan</t>
  </si>
  <si>
    <t>CZB-NXT-i7-02711</t>
  </si>
  <si>
    <t>CCACCTCCACAC</t>
  </si>
  <si>
    <t>CZB-NXT-i5-02327</t>
  </si>
  <si>
    <t>GGCACGAGAGGT</t>
  </si>
  <si>
    <t>A12</t>
  </si>
  <si>
    <t>SS0033</t>
  </si>
  <si>
    <t>R8</t>
  </si>
  <si>
    <t>16S-P7-A1-D04-L5_SS0034-KD040-240809-stool</t>
  </si>
  <si>
    <t>CZB-NXT-i7-02839</t>
  </si>
  <si>
    <t>CAAGGTGTGAAT</t>
  </si>
  <si>
    <t>CZB-NXT-i5-02455</t>
  </si>
  <si>
    <t>TGACGATTGAAT</t>
  </si>
  <si>
    <t>D04</t>
  </si>
  <si>
    <t>SS0034</t>
  </si>
  <si>
    <t>16S-P7-A1-H11-L3_SS0035-KD040-240809-saliva</t>
  </si>
  <si>
    <t>SS0035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</si>
</sst>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0"/>
      <color theme="1"/>
      <name val="Helvetica"/>
      <family val="2"/>
    </font>
    <font>
      <b/>
      <i/>
      <sz val="10"/>
      <color theme="1"/>
      <name val="Helvetica"/>
      <family val="2"/>
    </font>
    <font>
      <b/>
      <i/>
      <sz val="10"/>
      <color rgb="FF000000"/>
      <name val="Helvetica"/>
      <family val="2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sz val="10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06F2-EA56-9843-BEE5-2D61F3AD4DFD}">
  <dimension ref="A1:U34"/>
  <sheetViews>
    <sheetView tabSelected="1" workbookViewId="0">
      <selection sqref="A1:XFD1048576"/>
    </sheetView>
  </sheetViews>
  <sheetFormatPr baseColWidth="10" defaultRowHeight="16"/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>
      <c r="A2" s="5" t="str">
        <f>_xlfn.CONCAT("sample_",B2)</f>
        <v>sample_16S-P7-A1-G12-L2_SS0001-KD035-240730-capscan</v>
      </c>
      <c r="B2" s="6" t="s">
        <v>21</v>
      </c>
      <c r="C2" s="7" t="s">
        <v>22</v>
      </c>
      <c r="D2" s="7">
        <v>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5" t="s">
        <v>28</v>
      </c>
      <c r="K2" s="8" t="s">
        <v>29</v>
      </c>
      <c r="L2" s="9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>
        <v>240730</v>
      </c>
      <c r="T2" s="5">
        <v>240730</v>
      </c>
      <c r="U2" s="5">
        <v>3</v>
      </c>
    </row>
    <row r="3" spans="1:21">
      <c r="A3" s="5" t="str">
        <f>_xlfn.CONCAT("sample_",B3)</f>
        <v>sample_16S-P7-A1-H01-L2_SS0002-KD035-240730-capscan</v>
      </c>
      <c r="B3" s="6" t="s">
        <v>37</v>
      </c>
      <c r="C3" s="7" t="s">
        <v>22</v>
      </c>
      <c r="D3" s="7">
        <v>2</v>
      </c>
      <c r="E3" s="7" t="s">
        <v>38</v>
      </c>
      <c r="F3" s="7" t="s">
        <v>39</v>
      </c>
      <c r="G3" s="7" t="s">
        <v>40</v>
      </c>
      <c r="H3" s="7" t="s">
        <v>41</v>
      </c>
      <c r="I3" s="7" t="s">
        <v>27</v>
      </c>
      <c r="J3" s="5" t="s">
        <v>42</v>
      </c>
      <c r="K3" s="8" t="s">
        <v>29</v>
      </c>
      <c r="L3" s="9" t="s">
        <v>43</v>
      </c>
      <c r="M3" s="5" t="s">
        <v>31</v>
      </c>
      <c r="N3" s="5" t="s">
        <v>32</v>
      </c>
      <c r="O3" s="5" t="s">
        <v>33</v>
      </c>
      <c r="P3" s="5" t="s">
        <v>34</v>
      </c>
      <c r="Q3" s="5" t="s">
        <v>44</v>
      </c>
      <c r="R3" s="5">
        <v>5.8</v>
      </c>
      <c r="S3" s="5">
        <v>240730</v>
      </c>
      <c r="T3" s="5">
        <v>240730</v>
      </c>
      <c r="U3" s="5">
        <v>3</v>
      </c>
    </row>
    <row r="4" spans="1:21">
      <c r="A4" s="5" t="str">
        <f>_xlfn.CONCAT("sample_",B4)</f>
        <v>sample_16S-P7-A1-H02-L2_SS0003-KD035-240730-capscan</v>
      </c>
      <c r="B4" s="6" t="s">
        <v>45</v>
      </c>
      <c r="C4" s="7" t="s">
        <v>22</v>
      </c>
      <c r="D4" s="7">
        <v>2</v>
      </c>
      <c r="E4" s="7" t="s">
        <v>46</v>
      </c>
      <c r="F4" s="7" t="s">
        <v>47</v>
      </c>
      <c r="G4" s="7" t="s">
        <v>48</v>
      </c>
      <c r="H4" s="7" t="s">
        <v>49</v>
      </c>
      <c r="I4" s="7" t="s">
        <v>27</v>
      </c>
      <c r="J4" s="5" t="s">
        <v>50</v>
      </c>
      <c r="K4" s="8" t="s">
        <v>29</v>
      </c>
      <c r="L4" s="9" t="s">
        <v>51</v>
      </c>
      <c r="M4" s="5" t="s">
        <v>31</v>
      </c>
      <c r="N4" s="5" t="s">
        <v>32</v>
      </c>
      <c r="O4" s="5" t="s">
        <v>33</v>
      </c>
      <c r="P4" s="5" t="s">
        <v>34</v>
      </c>
      <c r="Q4" s="5" t="s">
        <v>52</v>
      </c>
      <c r="R4" s="5">
        <v>5.8</v>
      </c>
      <c r="S4" s="5">
        <v>240730</v>
      </c>
      <c r="T4" s="5">
        <v>240730</v>
      </c>
      <c r="U4" s="5">
        <v>3</v>
      </c>
    </row>
    <row r="5" spans="1:21">
      <c r="A5" s="5" t="str">
        <f>_xlfn.CONCAT("sample_",B5)</f>
        <v>sample_16S-P7-A1-H03-L2_SS0004-KD035-240730-capscan</v>
      </c>
      <c r="B5" s="6" t="s">
        <v>53</v>
      </c>
      <c r="C5" s="7" t="s">
        <v>22</v>
      </c>
      <c r="D5" s="7">
        <v>2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27</v>
      </c>
      <c r="J5" s="5" t="s">
        <v>58</v>
      </c>
      <c r="K5" s="8" t="s">
        <v>29</v>
      </c>
      <c r="L5" s="9" t="s">
        <v>59</v>
      </c>
      <c r="M5" s="5" t="s">
        <v>31</v>
      </c>
      <c r="N5" s="5" t="s">
        <v>32</v>
      </c>
      <c r="O5" s="5" t="s">
        <v>33</v>
      </c>
      <c r="P5" s="5" t="s">
        <v>34</v>
      </c>
      <c r="Q5" s="5" t="s">
        <v>60</v>
      </c>
      <c r="R5" s="5">
        <v>5.8</v>
      </c>
      <c r="S5" s="5">
        <v>240730</v>
      </c>
      <c r="T5" s="5">
        <v>240730</v>
      </c>
      <c r="U5" s="5">
        <v>3</v>
      </c>
    </row>
    <row r="6" spans="1:21">
      <c r="A6" s="5" t="str">
        <f>_xlfn.CONCAT("sample_",B6)</f>
        <v>sample_16S-P7-A1-H04-L2_SS0005-KD035-240730-capscan</v>
      </c>
      <c r="B6" s="6" t="s">
        <v>61</v>
      </c>
      <c r="C6" s="7" t="s">
        <v>22</v>
      </c>
      <c r="D6" s="7">
        <v>2</v>
      </c>
      <c r="E6" s="7" t="s">
        <v>62</v>
      </c>
      <c r="F6" s="7" t="s">
        <v>63</v>
      </c>
      <c r="G6" s="7" t="s">
        <v>64</v>
      </c>
      <c r="H6" s="7" t="s">
        <v>65</v>
      </c>
      <c r="I6" s="7" t="s">
        <v>27</v>
      </c>
      <c r="J6" s="5" t="s">
        <v>66</v>
      </c>
      <c r="K6" s="8" t="s">
        <v>29</v>
      </c>
      <c r="L6" s="9" t="s">
        <v>67</v>
      </c>
      <c r="M6" s="5" t="s">
        <v>31</v>
      </c>
      <c r="N6" s="5" t="s">
        <v>32</v>
      </c>
      <c r="O6" s="5" t="s">
        <v>33</v>
      </c>
      <c r="P6" s="5" t="s">
        <v>34</v>
      </c>
      <c r="Q6" s="5" t="s">
        <v>68</v>
      </c>
      <c r="R6" s="5">
        <v>6</v>
      </c>
      <c r="S6" s="5">
        <v>240730</v>
      </c>
      <c r="T6" s="5">
        <v>240730</v>
      </c>
      <c r="U6" s="5">
        <v>3</v>
      </c>
    </row>
    <row r="7" spans="1:21">
      <c r="A7" s="5" t="str">
        <f>_xlfn.CONCAT("sample_",B7)</f>
        <v>sample_16S-P7-A1-H05-L2_SS0006-KD035-240730-capscan</v>
      </c>
      <c r="B7" s="6" t="s">
        <v>69</v>
      </c>
      <c r="C7" s="7" t="s">
        <v>22</v>
      </c>
      <c r="D7" s="7">
        <v>2</v>
      </c>
      <c r="E7" s="7" t="s">
        <v>70</v>
      </c>
      <c r="F7" s="7" t="s">
        <v>71</v>
      </c>
      <c r="G7" s="7" t="s">
        <v>72</v>
      </c>
      <c r="H7" s="7" t="s">
        <v>73</v>
      </c>
      <c r="I7" s="7" t="s">
        <v>27</v>
      </c>
      <c r="J7" s="5" t="s">
        <v>74</v>
      </c>
      <c r="K7" s="8" t="s">
        <v>29</v>
      </c>
      <c r="L7" s="9" t="s">
        <v>75</v>
      </c>
      <c r="M7" s="5" t="s">
        <v>31</v>
      </c>
      <c r="N7" s="5" t="s">
        <v>32</v>
      </c>
      <c r="O7" s="5" t="s">
        <v>33</v>
      </c>
      <c r="P7" s="5" t="s">
        <v>34</v>
      </c>
      <c r="Q7" s="5" t="s">
        <v>76</v>
      </c>
      <c r="R7" s="5">
        <v>6</v>
      </c>
      <c r="S7" s="5">
        <v>240730</v>
      </c>
      <c r="T7" s="5">
        <v>240730</v>
      </c>
      <c r="U7" s="5">
        <v>3</v>
      </c>
    </row>
    <row r="8" spans="1:21">
      <c r="A8" s="5" t="str">
        <f>_xlfn.CONCAT("sample_",B8)</f>
        <v>sample_16S-P7-A1-H06-L2_SS0007-KD035-240730-capscan</v>
      </c>
      <c r="B8" s="6" t="s">
        <v>77</v>
      </c>
      <c r="C8" s="7" t="s">
        <v>22</v>
      </c>
      <c r="D8" s="7">
        <v>2</v>
      </c>
      <c r="E8" s="7" t="s">
        <v>78</v>
      </c>
      <c r="F8" s="7" t="s">
        <v>79</v>
      </c>
      <c r="G8" s="7" t="s">
        <v>80</v>
      </c>
      <c r="H8" s="7" t="s">
        <v>81</v>
      </c>
      <c r="I8" s="7" t="s">
        <v>27</v>
      </c>
      <c r="J8" s="5" t="s">
        <v>82</v>
      </c>
      <c r="K8" s="8" t="s">
        <v>29</v>
      </c>
      <c r="L8" s="9" t="s">
        <v>83</v>
      </c>
      <c r="M8" s="5" t="s">
        <v>31</v>
      </c>
      <c r="N8" s="5" t="s">
        <v>32</v>
      </c>
      <c r="O8" s="5" t="s">
        <v>33</v>
      </c>
      <c r="P8" s="5" t="s">
        <v>34</v>
      </c>
      <c r="Q8" s="5" t="s">
        <v>84</v>
      </c>
      <c r="R8" s="5" t="s">
        <v>85</v>
      </c>
      <c r="S8" s="5">
        <v>240730</v>
      </c>
      <c r="T8" s="5">
        <v>240730</v>
      </c>
      <c r="U8" s="5">
        <v>1</v>
      </c>
    </row>
    <row r="9" spans="1:21">
      <c r="A9" s="5" t="str">
        <f>_xlfn.CONCAT("sample_",B9)</f>
        <v>sample_16S-P7-A1-D01-L5_SS0008-KD035-240730-stool</v>
      </c>
      <c r="B9" s="6" t="s">
        <v>86</v>
      </c>
      <c r="C9" s="7" t="s">
        <v>22</v>
      </c>
      <c r="D9" s="7">
        <v>5</v>
      </c>
      <c r="E9" s="7" t="s">
        <v>87</v>
      </c>
      <c r="F9" s="7" t="s">
        <v>88</v>
      </c>
      <c r="G9" s="7" t="s">
        <v>89</v>
      </c>
      <c r="H9" s="7" t="s">
        <v>90</v>
      </c>
      <c r="I9" s="5" t="s">
        <v>91</v>
      </c>
      <c r="J9" s="5" t="s">
        <v>92</v>
      </c>
      <c r="K9" s="8" t="s">
        <v>29</v>
      </c>
      <c r="L9" s="9" t="s">
        <v>93</v>
      </c>
      <c r="M9" s="5" t="s">
        <v>94</v>
      </c>
      <c r="N9" s="5" t="s">
        <v>94</v>
      </c>
      <c r="O9" s="5" t="s">
        <v>33</v>
      </c>
      <c r="P9" s="5" t="s">
        <v>95</v>
      </c>
      <c r="Q9" s="5" t="s">
        <v>95</v>
      </c>
      <c r="R9" s="5" t="s">
        <v>85</v>
      </c>
      <c r="S9" s="5">
        <v>240730</v>
      </c>
      <c r="T9" s="5">
        <v>240730</v>
      </c>
      <c r="U9" s="5" t="s">
        <v>94</v>
      </c>
    </row>
    <row r="10" spans="1:21">
      <c r="A10" s="5" t="str">
        <f>_xlfn.CONCAT("sample_",B10)</f>
        <v>sample_16S-P7-A1-H08-L3_SS0009-KD035-240730-saliva</v>
      </c>
      <c r="B10" s="6" t="s">
        <v>96</v>
      </c>
      <c r="C10" s="7" t="s">
        <v>22</v>
      </c>
      <c r="D10" s="7">
        <v>3</v>
      </c>
      <c r="E10" s="7" t="s">
        <v>97</v>
      </c>
      <c r="F10" s="7" t="s">
        <v>98</v>
      </c>
      <c r="G10" s="7" t="s">
        <v>99</v>
      </c>
      <c r="H10" s="7" t="s">
        <v>100</v>
      </c>
      <c r="I10" s="7" t="s">
        <v>101</v>
      </c>
      <c r="J10" s="5" t="s">
        <v>102</v>
      </c>
      <c r="K10" s="8" t="s">
        <v>29</v>
      </c>
      <c r="L10" s="9" t="s">
        <v>103</v>
      </c>
      <c r="M10" s="5" t="s">
        <v>94</v>
      </c>
      <c r="N10" s="5" t="s">
        <v>94</v>
      </c>
      <c r="O10" s="5" t="s">
        <v>33</v>
      </c>
      <c r="P10" s="5" t="s">
        <v>104</v>
      </c>
      <c r="Q10" s="5" t="s">
        <v>104</v>
      </c>
      <c r="R10" s="5" t="s">
        <v>85</v>
      </c>
      <c r="S10" s="5">
        <v>240730</v>
      </c>
      <c r="T10" s="5">
        <v>240730</v>
      </c>
      <c r="U10" s="5" t="s">
        <v>94</v>
      </c>
    </row>
    <row r="11" spans="1:21">
      <c r="A11" s="5" t="str">
        <f>_xlfn.CONCAT("sample_",B11)</f>
        <v>sample_16S-P7-A1-H07-L2_SS0011-KD036-240730-capscan</v>
      </c>
      <c r="B11" s="6" t="s">
        <v>105</v>
      </c>
      <c r="C11" s="7" t="s">
        <v>22</v>
      </c>
      <c r="D11" s="7">
        <v>2</v>
      </c>
      <c r="E11" s="7" t="s">
        <v>106</v>
      </c>
      <c r="F11" s="7" t="s">
        <v>107</v>
      </c>
      <c r="G11" s="7" t="s">
        <v>108</v>
      </c>
      <c r="H11" s="7" t="s">
        <v>109</v>
      </c>
      <c r="I11" s="7" t="s">
        <v>27</v>
      </c>
      <c r="J11" s="5" t="s">
        <v>110</v>
      </c>
      <c r="K11" s="8" t="s">
        <v>29</v>
      </c>
      <c r="L11" s="9" t="s">
        <v>111</v>
      </c>
      <c r="M11" s="5" t="s">
        <v>112</v>
      </c>
      <c r="N11" s="5" t="s">
        <v>32</v>
      </c>
      <c r="O11" s="5" t="s">
        <v>113</v>
      </c>
      <c r="P11" s="5" t="s">
        <v>34</v>
      </c>
      <c r="Q11" s="5" t="s">
        <v>35</v>
      </c>
      <c r="R11" s="5">
        <v>6</v>
      </c>
      <c r="S11" s="5">
        <v>240730</v>
      </c>
      <c r="T11" s="5">
        <v>240730</v>
      </c>
      <c r="U11" s="5">
        <v>3</v>
      </c>
    </row>
    <row r="12" spans="1:21">
      <c r="A12" s="5" t="str">
        <f>_xlfn.CONCAT("sample_",B12)</f>
        <v>sample_16S-P7-A1-H08-L2_SS0012-KD036-240730-capscan</v>
      </c>
      <c r="B12" s="6" t="s">
        <v>114</v>
      </c>
      <c r="C12" s="7" t="s">
        <v>22</v>
      </c>
      <c r="D12" s="7">
        <v>2</v>
      </c>
      <c r="E12" s="7" t="s">
        <v>97</v>
      </c>
      <c r="F12" s="7" t="s">
        <v>98</v>
      </c>
      <c r="G12" s="7" t="s">
        <v>99</v>
      </c>
      <c r="H12" s="7" t="s">
        <v>100</v>
      </c>
      <c r="I12" s="7" t="s">
        <v>27</v>
      </c>
      <c r="J12" s="5" t="s">
        <v>102</v>
      </c>
      <c r="K12" s="8" t="s">
        <v>29</v>
      </c>
      <c r="L12" s="9" t="s">
        <v>115</v>
      </c>
      <c r="M12" s="5" t="s">
        <v>112</v>
      </c>
      <c r="N12" s="5" t="s">
        <v>32</v>
      </c>
      <c r="O12" s="5" t="s">
        <v>113</v>
      </c>
      <c r="P12" s="5" t="s">
        <v>34</v>
      </c>
      <c r="Q12" s="5" t="s">
        <v>44</v>
      </c>
      <c r="R12" s="5">
        <v>6</v>
      </c>
      <c r="S12" s="5">
        <v>240730</v>
      </c>
      <c r="T12" s="5">
        <v>240730</v>
      </c>
      <c r="U12" s="5">
        <v>3</v>
      </c>
    </row>
    <row r="13" spans="1:21">
      <c r="A13" s="5" t="str">
        <f>_xlfn.CONCAT("sample_",B13)</f>
        <v>sample_16S-P7-A1-H09-L2_SS0013-KD036-240730-capscan</v>
      </c>
      <c r="B13" s="6" t="s">
        <v>116</v>
      </c>
      <c r="C13" s="7" t="s">
        <v>22</v>
      </c>
      <c r="D13" s="7">
        <v>2</v>
      </c>
      <c r="E13" s="7" t="s">
        <v>117</v>
      </c>
      <c r="F13" s="7" t="s">
        <v>118</v>
      </c>
      <c r="G13" s="7" t="s">
        <v>119</v>
      </c>
      <c r="H13" s="7" t="s">
        <v>120</v>
      </c>
      <c r="I13" s="7" t="s">
        <v>27</v>
      </c>
      <c r="J13" s="5" t="s">
        <v>121</v>
      </c>
      <c r="K13" s="8" t="s">
        <v>29</v>
      </c>
      <c r="L13" s="9" t="s">
        <v>122</v>
      </c>
      <c r="M13" s="5" t="s">
        <v>112</v>
      </c>
      <c r="N13" s="5" t="s">
        <v>32</v>
      </c>
      <c r="O13" s="5" t="s">
        <v>113</v>
      </c>
      <c r="P13" s="5" t="s">
        <v>34</v>
      </c>
      <c r="Q13" s="5" t="s">
        <v>52</v>
      </c>
      <c r="R13" s="5">
        <v>6.2</v>
      </c>
      <c r="S13" s="5">
        <v>240730</v>
      </c>
      <c r="T13" s="5">
        <v>240730</v>
      </c>
      <c r="U13" s="5">
        <v>2.5</v>
      </c>
    </row>
    <row r="14" spans="1:21">
      <c r="A14" s="5" t="str">
        <f>_xlfn.CONCAT("sample_",B14)</f>
        <v>sample_16S-P7-A1-D02-L5_SS0014-KD036-240730-stool</v>
      </c>
      <c r="B14" s="6" t="s">
        <v>123</v>
      </c>
      <c r="C14" s="7" t="s">
        <v>22</v>
      </c>
      <c r="D14" s="7">
        <v>5</v>
      </c>
      <c r="E14" s="7" t="s">
        <v>124</v>
      </c>
      <c r="F14" s="7" t="s">
        <v>125</v>
      </c>
      <c r="G14" s="7" t="s">
        <v>126</v>
      </c>
      <c r="H14" s="7" t="s">
        <v>127</v>
      </c>
      <c r="I14" s="5" t="s">
        <v>91</v>
      </c>
      <c r="J14" s="5" t="s">
        <v>128</v>
      </c>
      <c r="K14" s="8" t="s">
        <v>29</v>
      </c>
      <c r="L14" s="9" t="s">
        <v>129</v>
      </c>
      <c r="M14" s="5" t="s">
        <v>94</v>
      </c>
      <c r="N14" s="5" t="s">
        <v>94</v>
      </c>
      <c r="O14" s="5" t="s">
        <v>113</v>
      </c>
      <c r="P14" s="5" t="s">
        <v>95</v>
      </c>
      <c r="Q14" s="5" t="s">
        <v>95</v>
      </c>
      <c r="R14" s="5" t="s">
        <v>85</v>
      </c>
      <c r="S14" s="5">
        <v>240730</v>
      </c>
      <c r="T14" s="5">
        <v>240730</v>
      </c>
      <c r="U14" s="5" t="s">
        <v>94</v>
      </c>
    </row>
    <row r="15" spans="1:21">
      <c r="A15" s="5" t="str">
        <f>_xlfn.CONCAT("sample_",B15)</f>
        <v>sample_16S-P7-A1-H09-L3_SS0015-KD036-240730-saliva</v>
      </c>
      <c r="B15" s="6" t="s">
        <v>130</v>
      </c>
      <c r="C15" s="7" t="s">
        <v>22</v>
      </c>
      <c r="D15" s="7">
        <v>3</v>
      </c>
      <c r="E15" s="7" t="s">
        <v>117</v>
      </c>
      <c r="F15" s="7" t="s">
        <v>118</v>
      </c>
      <c r="G15" s="7" t="s">
        <v>119</v>
      </c>
      <c r="H15" s="7" t="s">
        <v>120</v>
      </c>
      <c r="I15" s="7" t="s">
        <v>101</v>
      </c>
      <c r="J15" s="5" t="s">
        <v>121</v>
      </c>
      <c r="K15" s="8" t="s">
        <v>29</v>
      </c>
      <c r="L15" s="9" t="s">
        <v>131</v>
      </c>
      <c r="M15" s="5" t="s">
        <v>94</v>
      </c>
      <c r="N15" s="5" t="s">
        <v>94</v>
      </c>
      <c r="O15" s="5" t="s">
        <v>113</v>
      </c>
      <c r="P15" s="5" t="s">
        <v>104</v>
      </c>
      <c r="Q15" s="5" t="s">
        <v>104</v>
      </c>
      <c r="R15" s="5" t="s">
        <v>85</v>
      </c>
      <c r="S15" s="5">
        <v>240730</v>
      </c>
      <c r="T15" s="5">
        <v>240730</v>
      </c>
      <c r="U15" s="5" t="s">
        <v>94</v>
      </c>
    </row>
    <row r="16" spans="1:21">
      <c r="A16" s="5" t="str">
        <f>_xlfn.CONCAT("sample_",B16)</f>
        <v>sample_16S-P7-A1-H10-L2_SS0016-KD039-240809-capscan</v>
      </c>
      <c r="B16" s="6" t="s">
        <v>132</v>
      </c>
      <c r="C16" s="7" t="s">
        <v>22</v>
      </c>
      <c r="D16" s="7">
        <v>2</v>
      </c>
      <c r="E16" s="7" t="s">
        <v>133</v>
      </c>
      <c r="F16" s="7" t="s">
        <v>134</v>
      </c>
      <c r="G16" s="7" t="s">
        <v>135</v>
      </c>
      <c r="H16" s="7" t="s">
        <v>136</v>
      </c>
      <c r="I16" s="7" t="s">
        <v>27</v>
      </c>
      <c r="J16" s="5" t="s">
        <v>137</v>
      </c>
      <c r="K16" s="8" t="s">
        <v>29</v>
      </c>
      <c r="L16" s="9" t="s">
        <v>138</v>
      </c>
      <c r="M16" s="5" t="s">
        <v>139</v>
      </c>
      <c r="N16" s="5" t="s">
        <v>32</v>
      </c>
      <c r="O16" s="5" t="s">
        <v>140</v>
      </c>
      <c r="P16" s="5" t="s">
        <v>34</v>
      </c>
      <c r="Q16" s="5" t="s">
        <v>35</v>
      </c>
      <c r="R16" s="5">
        <v>5.5</v>
      </c>
      <c r="S16" s="5">
        <v>240809</v>
      </c>
      <c r="T16" s="5">
        <v>240809</v>
      </c>
      <c r="U16" s="5">
        <v>3</v>
      </c>
    </row>
    <row r="17" spans="1:21">
      <c r="A17" s="5" t="str">
        <f>_xlfn.CONCAT("sample_",B17)</f>
        <v>sample_16S-P7-A1-H11-L2_SS0017-KD039-240809-capscan</v>
      </c>
      <c r="B17" s="6" t="s">
        <v>141</v>
      </c>
      <c r="C17" s="7" t="s">
        <v>22</v>
      </c>
      <c r="D17" s="7">
        <v>2</v>
      </c>
      <c r="E17" s="7" t="s">
        <v>142</v>
      </c>
      <c r="F17" s="7" t="s">
        <v>143</v>
      </c>
      <c r="G17" s="7" t="s">
        <v>144</v>
      </c>
      <c r="H17" s="7" t="s">
        <v>145</v>
      </c>
      <c r="I17" s="7" t="s">
        <v>27</v>
      </c>
      <c r="J17" s="5" t="s">
        <v>146</v>
      </c>
      <c r="K17" s="8" t="s">
        <v>29</v>
      </c>
      <c r="L17" s="9" t="s">
        <v>147</v>
      </c>
      <c r="M17" s="5" t="s">
        <v>139</v>
      </c>
      <c r="N17" s="5" t="s">
        <v>32</v>
      </c>
      <c r="O17" s="5" t="s">
        <v>140</v>
      </c>
      <c r="P17" s="5" t="s">
        <v>34</v>
      </c>
      <c r="Q17" s="5" t="s">
        <v>44</v>
      </c>
      <c r="R17" s="5">
        <v>5.8</v>
      </c>
      <c r="S17" s="5">
        <v>240809</v>
      </c>
      <c r="T17" s="5">
        <v>240809</v>
      </c>
      <c r="U17" s="5">
        <v>3</v>
      </c>
    </row>
    <row r="18" spans="1:21">
      <c r="A18" s="5" t="str">
        <f>_xlfn.CONCAT("sample_",B18)</f>
        <v>sample_16S-P7-A1-H12-L2_SS0018-KD039-240809-capscan</v>
      </c>
      <c r="B18" s="6" t="s">
        <v>148</v>
      </c>
      <c r="C18" s="7" t="s">
        <v>22</v>
      </c>
      <c r="D18" s="7">
        <v>2</v>
      </c>
      <c r="E18" s="7" t="s">
        <v>149</v>
      </c>
      <c r="F18" s="7" t="s">
        <v>150</v>
      </c>
      <c r="G18" s="7" t="s">
        <v>151</v>
      </c>
      <c r="H18" s="7" t="s">
        <v>152</v>
      </c>
      <c r="I18" s="7" t="s">
        <v>27</v>
      </c>
      <c r="J18" s="5" t="s">
        <v>153</v>
      </c>
      <c r="K18" s="8" t="s">
        <v>29</v>
      </c>
      <c r="L18" s="9" t="s">
        <v>154</v>
      </c>
      <c r="M18" s="5" t="s">
        <v>139</v>
      </c>
      <c r="N18" s="5" t="s">
        <v>32</v>
      </c>
      <c r="O18" s="5" t="s">
        <v>140</v>
      </c>
      <c r="P18" s="5" t="s">
        <v>34</v>
      </c>
      <c r="Q18" s="5" t="s">
        <v>52</v>
      </c>
      <c r="R18" s="5">
        <v>5.8</v>
      </c>
      <c r="S18" s="5">
        <v>240809</v>
      </c>
      <c r="T18" s="5">
        <v>240809</v>
      </c>
      <c r="U18" s="5">
        <v>3</v>
      </c>
    </row>
    <row r="19" spans="1:21">
      <c r="A19" s="5" t="str">
        <f>_xlfn.CONCAT("sample_",B19)</f>
        <v>sample_16S-P7-A1-A01-L3_SS0019-KD039-240809-capscan</v>
      </c>
      <c r="B19" s="6" t="s">
        <v>155</v>
      </c>
      <c r="C19" s="7" t="s">
        <v>22</v>
      </c>
      <c r="D19" s="7">
        <v>3</v>
      </c>
      <c r="E19" s="7" t="s">
        <v>156</v>
      </c>
      <c r="F19" s="7" t="s">
        <v>157</v>
      </c>
      <c r="G19" s="7" t="s">
        <v>158</v>
      </c>
      <c r="H19" s="7" t="s">
        <v>159</v>
      </c>
      <c r="I19" s="7" t="s">
        <v>101</v>
      </c>
      <c r="J19" s="5" t="s">
        <v>160</v>
      </c>
      <c r="K19" s="8" t="s">
        <v>29</v>
      </c>
      <c r="L19" s="9" t="s">
        <v>161</v>
      </c>
      <c r="M19" s="5" t="s">
        <v>139</v>
      </c>
      <c r="N19" s="5" t="s">
        <v>32</v>
      </c>
      <c r="O19" s="5" t="s">
        <v>140</v>
      </c>
      <c r="P19" s="5" t="s">
        <v>34</v>
      </c>
      <c r="Q19" s="5" t="s">
        <v>60</v>
      </c>
      <c r="R19" s="5">
        <v>5.8</v>
      </c>
      <c r="S19" s="5">
        <v>240809</v>
      </c>
      <c r="T19" s="5">
        <v>240809</v>
      </c>
      <c r="U19" s="5">
        <v>3</v>
      </c>
    </row>
    <row r="20" spans="1:21">
      <c r="A20" s="5" t="str">
        <f>_xlfn.CONCAT("sample_",B20)</f>
        <v>sample_16S-P7-A1-A02-L3_SS0020-KD039-240809-capscan</v>
      </c>
      <c r="B20" s="6" t="s">
        <v>162</v>
      </c>
      <c r="C20" s="7" t="s">
        <v>22</v>
      </c>
      <c r="D20" s="7">
        <v>3</v>
      </c>
      <c r="E20" s="7" t="s">
        <v>163</v>
      </c>
      <c r="F20" s="7" t="s">
        <v>164</v>
      </c>
      <c r="G20" s="7" t="s">
        <v>165</v>
      </c>
      <c r="H20" s="7" t="s">
        <v>166</v>
      </c>
      <c r="I20" s="7" t="s">
        <v>101</v>
      </c>
      <c r="J20" s="5" t="s">
        <v>167</v>
      </c>
      <c r="K20" s="8" t="s">
        <v>29</v>
      </c>
      <c r="L20" s="9" t="s">
        <v>168</v>
      </c>
      <c r="M20" s="5" t="s">
        <v>139</v>
      </c>
      <c r="N20" s="5" t="s">
        <v>32</v>
      </c>
      <c r="O20" s="5" t="s">
        <v>140</v>
      </c>
      <c r="P20" s="5" t="s">
        <v>34</v>
      </c>
      <c r="Q20" s="5" t="s">
        <v>68</v>
      </c>
      <c r="R20" s="5">
        <v>5.8</v>
      </c>
      <c r="S20" s="5">
        <v>240809</v>
      </c>
      <c r="T20" s="5">
        <v>240809</v>
      </c>
      <c r="U20" s="5">
        <v>3</v>
      </c>
    </row>
    <row r="21" spans="1:21">
      <c r="A21" s="5" t="str">
        <f>_xlfn.CONCAT("sample_",B21)</f>
        <v>sample_16S-P7-A1-A03-L3_SS0021-KD039-240809-capscan</v>
      </c>
      <c r="B21" s="6" t="s">
        <v>169</v>
      </c>
      <c r="C21" s="7" t="s">
        <v>22</v>
      </c>
      <c r="D21" s="7">
        <v>3</v>
      </c>
      <c r="E21" s="7" t="s">
        <v>170</v>
      </c>
      <c r="F21" s="7" t="s">
        <v>171</v>
      </c>
      <c r="G21" s="7" t="s">
        <v>172</v>
      </c>
      <c r="H21" s="7" t="s">
        <v>173</v>
      </c>
      <c r="I21" s="7" t="s">
        <v>101</v>
      </c>
      <c r="J21" s="5" t="s">
        <v>174</v>
      </c>
      <c r="K21" s="8" t="s">
        <v>29</v>
      </c>
      <c r="L21" s="9" t="s">
        <v>175</v>
      </c>
      <c r="M21" s="5" t="s">
        <v>139</v>
      </c>
      <c r="N21" s="5" t="s">
        <v>32</v>
      </c>
      <c r="O21" s="5" t="s">
        <v>140</v>
      </c>
      <c r="P21" s="5" t="s">
        <v>34</v>
      </c>
      <c r="Q21" s="5" t="s">
        <v>76</v>
      </c>
      <c r="R21" s="5">
        <v>6</v>
      </c>
      <c r="S21" s="5">
        <v>240809</v>
      </c>
      <c r="T21" s="5">
        <v>240809</v>
      </c>
      <c r="U21" s="5">
        <v>3</v>
      </c>
    </row>
    <row r="22" spans="1:21">
      <c r="A22" s="5" t="str">
        <f>_xlfn.CONCAT("sample_",B22)</f>
        <v>sample_16S-P7-A1-A04-L3_SS0022-KD039-240809-capscan</v>
      </c>
      <c r="B22" s="6" t="s">
        <v>176</v>
      </c>
      <c r="C22" s="7" t="s">
        <v>22</v>
      </c>
      <c r="D22" s="7">
        <v>3</v>
      </c>
      <c r="E22" s="7" t="s">
        <v>177</v>
      </c>
      <c r="F22" s="7" t="s">
        <v>178</v>
      </c>
      <c r="G22" s="7" t="s">
        <v>179</v>
      </c>
      <c r="H22" s="7" t="s">
        <v>180</v>
      </c>
      <c r="I22" s="7" t="s">
        <v>101</v>
      </c>
      <c r="J22" s="5" t="s">
        <v>181</v>
      </c>
      <c r="K22" s="8" t="s">
        <v>29</v>
      </c>
      <c r="L22" s="9" t="s">
        <v>182</v>
      </c>
      <c r="M22" s="5" t="s">
        <v>139</v>
      </c>
      <c r="N22" s="5" t="s">
        <v>32</v>
      </c>
      <c r="O22" s="5" t="s">
        <v>140</v>
      </c>
      <c r="P22" s="5" t="s">
        <v>34</v>
      </c>
      <c r="Q22" s="5" t="s">
        <v>84</v>
      </c>
      <c r="R22" s="5">
        <v>6.2</v>
      </c>
      <c r="S22" s="5">
        <v>240809</v>
      </c>
      <c r="T22" s="5">
        <v>240809</v>
      </c>
      <c r="U22" s="5">
        <v>1</v>
      </c>
    </row>
    <row r="23" spans="1:21">
      <c r="A23" s="5" t="str">
        <f>_xlfn.CONCAT("sample_",B23)</f>
        <v>sample_16S-P7-A1-D03-L5_SS0023-KD039-240809-stool</v>
      </c>
      <c r="B23" s="6" t="s">
        <v>183</v>
      </c>
      <c r="C23" s="7" t="s">
        <v>22</v>
      </c>
      <c r="D23" s="7">
        <v>5</v>
      </c>
      <c r="E23" s="7" t="s">
        <v>184</v>
      </c>
      <c r="F23" s="7" t="s">
        <v>185</v>
      </c>
      <c r="G23" s="7" t="s">
        <v>186</v>
      </c>
      <c r="H23" s="7" t="s">
        <v>187</v>
      </c>
      <c r="I23" s="5" t="s">
        <v>91</v>
      </c>
      <c r="J23" s="5" t="s">
        <v>188</v>
      </c>
      <c r="K23" s="8" t="s">
        <v>29</v>
      </c>
      <c r="L23" s="9" t="s">
        <v>189</v>
      </c>
      <c r="M23" s="5" t="s">
        <v>94</v>
      </c>
      <c r="N23" s="5" t="s">
        <v>94</v>
      </c>
      <c r="O23" s="5" t="s">
        <v>140</v>
      </c>
      <c r="P23" s="5" t="s">
        <v>95</v>
      </c>
      <c r="Q23" s="5" t="s">
        <v>95</v>
      </c>
      <c r="R23" s="5" t="s">
        <v>85</v>
      </c>
      <c r="S23" s="5">
        <v>240809</v>
      </c>
      <c r="T23" s="5">
        <v>240809</v>
      </c>
      <c r="U23" s="5" t="s">
        <v>94</v>
      </c>
    </row>
    <row r="24" spans="1:21">
      <c r="A24" s="5" t="str">
        <f>_xlfn.CONCAT("sample_",B24)</f>
        <v>sample_16S-P7-A1-H10-L3_SS0024-KD039-240809-saliva</v>
      </c>
      <c r="B24" s="6" t="s">
        <v>190</v>
      </c>
      <c r="C24" s="7" t="s">
        <v>22</v>
      </c>
      <c r="D24" s="7">
        <v>3</v>
      </c>
      <c r="E24" s="7" t="s">
        <v>133</v>
      </c>
      <c r="F24" s="7" t="s">
        <v>134</v>
      </c>
      <c r="G24" s="7" t="s">
        <v>135</v>
      </c>
      <c r="H24" s="7" t="s">
        <v>136</v>
      </c>
      <c r="I24" s="7" t="s">
        <v>101</v>
      </c>
      <c r="J24" s="5" t="s">
        <v>137</v>
      </c>
      <c r="K24" s="8" t="s">
        <v>29</v>
      </c>
      <c r="L24" s="9" t="s">
        <v>191</v>
      </c>
      <c r="M24" s="5" t="s">
        <v>94</v>
      </c>
      <c r="N24" s="5" t="s">
        <v>94</v>
      </c>
      <c r="O24" s="5" t="s">
        <v>140</v>
      </c>
      <c r="P24" s="5" t="s">
        <v>104</v>
      </c>
      <c r="Q24" s="5" t="s">
        <v>104</v>
      </c>
      <c r="R24" s="5" t="s">
        <v>85</v>
      </c>
      <c r="S24" s="5">
        <v>240809</v>
      </c>
      <c r="T24" s="5">
        <v>240809</v>
      </c>
      <c r="U24" s="5" t="s">
        <v>94</v>
      </c>
    </row>
    <row r="25" spans="1:21">
      <c r="A25" s="5" t="str">
        <f>_xlfn.CONCAT("sample_",B25)</f>
        <v>sample_16S-P7-A1-A05-L3_SS0026-KD040-240809-capscan</v>
      </c>
      <c r="B25" s="6" t="s">
        <v>192</v>
      </c>
      <c r="C25" s="7" t="s">
        <v>22</v>
      </c>
      <c r="D25" s="7">
        <v>3</v>
      </c>
      <c r="E25" s="7" t="s">
        <v>193</v>
      </c>
      <c r="F25" s="7" t="s">
        <v>194</v>
      </c>
      <c r="G25" s="7" t="s">
        <v>195</v>
      </c>
      <c r="H25" s="7" t="s">
        <v>196</v>
      </c>
      <c r="I25" s="7" t="s">
        <v>101</v>
      </c>
      <c r="J25" s="5" t="s">
        <v>197</v>
      </c>
      <c r="K25" s="8" t="s">
        <v>29</v>
      </c>
      <c r="L25" s="9" t="s">
        <v>198</v>
      </c>
      <c r="M25" s="5" t="s">
        <v>199</v>
      </c>
      <c r="N25" s="5" t="s">
        <v>32</v>
      </c>
      <c r="O25" s="5" t="s">
        <v>200</v>
      </c>
      <c r="P25" s="5" t="s">
        <v>34</v>
      </c>
      <c r="Q25" s="5" t="s">
        <v>35</v>
      </c>
      <c r="R25" s="5" t="s">
        <v>201</v>
      </c>
      <c r="S25" s="5">
        <v>240809</v>
      </c>
      <c r="T25" s="5">
        <v>240809</v>
      </c>
      <c r="U25" s="5">
        <v>3</v>
      </c>
    </row>
    <row r="26" spans="1:21">
      <c r="A26" s="5" t="str">
        <f>_xlfn.CONCAT("sample_",B26)</f>
        <v>sample_16S-P7-A1-A06-L3_SS0027-KD040-240809-capscan</v>
      </c>
      <c r="B26" s="6" t="s">
        <v>202</v>
      </c>
      <c r="C26" s="7" t="s">
        <v>22</v>
      </c>
      <c r="D26" s="7">
        <v>3</v>
      </c>
      <c r="E26" s="7" t="s">
        <v>203</v>
      </c>
      <c r="F26" s="7" t="s">
        <v>204</v>
      </c>
      <c r="G26" s="7" t="s">
        <v>205</v>
      </c>
      <c r="H26" s="7" t="s">
        <v>206</v>
      </c>
      <c r="I26" s="7" t="s">
        <v>101</v>
      </c>
      <c r="J26" s="5" t="s">
        <v>207</v>
      </c>
      <c r="K26" s="8" t="s">
        <v>29</v>
      </c>
      <c r="L26" s="9" t="s">
        <v>208</v>
      </c>
      <c r="M26" s="5" t="s">
        <v>199</v>
      </c>
      <c r="N26" s="5" t="s">
        <v>32</v>
      </c>
      <c r="O26" s="5" t="s">
        <v>200</v>
      </c>
      <c r="P26" s="5" t="s">
        <v>34</v>
      </c>
      <c r="Q26" s="5" t="s">
        <v>44</v>
      </c>
      <c r="R26" s="5">
        <v>5.5</v>
      </c>
      <c r="S26" s="5">
        <v>240809</v>
      </c>
      <c r="T26" s="5">
        <v>240809</v>
      </c>
      <c r="U26" s="5">
        <v>3</v>
      </c>
    </row>
    <row r="27" spans="1:21">
      <c r="A27" s="5" t="str">
        <f>_xlfn.CONCAT("sample_",B27)</f>
        <v>sample_16S-P7-A1-A07-L3_SS0028-KD040-240809-capscan</v>
      </c>
      <c r="B27" s="6" t="s">
        <v>209</v>
      </c>
      <c r="C27" s="7" t="s">
        <v>22</v>
      </c>
      <c r="D27" s="7">
        <v>3</v>
      </c>
      <c r="E27" s="7" t="s">
        <v>210</v>
      </c>
      <c r="F27" s="7" t="s">
        <v>211</v>
      </c>
      <c r="G27" s="7" t="s">
        <v>212</v>
      </c>
      <c r="H27" s="7" t="s">
        <v>213</v>
      </c>
      <c r="I27" s="7" t="s">
        <v>101</v>
      </c>
      <c r="J27" s="5" t="s">
        <v>214</v>
      </c>
      <c r="K27" s="8" t="s">
        <v>29</v>
      </c>
      <c r="L27" s="9" t="s">
        <v>215</v>
      </c>
      <c r="M27" s="5" t="s">
        <v>199</v>
      </c>
      <c r="N27" s="5" t="s">
        <v>32</v>
      </c>
      <c r="O27" s="5" t="s">
        <v>200</v>
      </c>
      <c r="P27" s="5" t="s">
        <v>34</v>
      </c>
      <c r="Q27" s="5" t="s">
        <v>52</v>
      </c>
      <c r="R27" s="5">
        <v>5.5</v>
      </c>
      <c r="S27" s="5">
        <v>240809</v>
      </c>
      <c r="T27" s="5">
        <v>240809</v>
      </c>
      <c r="U27" s="5">
        <v>3</v>
      </c>
    </row>
    <row r="28" spans="1:21">
      <c r="A28" s="5" t="str">
        <f>_xlfn.CONCAT("sample_",B28)</f>
        <v>sample_16S-P7-A1-A08-L3_SS0029-KD040-240809-capscan</v>
      </c>
      <c r="B28" s="6" t="s">
        <v>216</v>
      </c>
      <c r="C28" s="7" t="s">
        <v>22</v>
      </c>
      <c r="D28" s="7">
        <v>3</v>
      </c>
      <c r="E28" s="7" t="s">
        <v>217</v>
      </c>
      <c r="F28" s="7" t="s">
        <v>218</v>
      </c>
      <c r="G28" s="7" t="s">
        <v>219</v>
      </c>
      <c r="H28" s="7" t="s">
        <v>220</v>
      </c>
      <c r="I28" s="7" t="s">
        <v>101</v>
      </c>
      <c r="J28" s="5" t="s">
        <v>221</v>
      </c>
      <c r="K28" s="8" t="s">
        <v>29</v>
      </c>
      <c r="L28" s="9" t="s">
        <v>222</v>
      </c>
      <c r="M28" s="5" t="s">
        <v>199</v>
      </c>
      <c r="N28" s="5" t="s">
        <v>32</v>
      </c>
      <c r="O28" s="5" t="s">
        <v>200</v>
      </c>
      <c r="P28" s="5" t="s">
        <v>34</v>
      </c>
      <c r="Q28" s="5" t="s">
        <v>60</v>
      </c>
      <c r="R28" s="5">
        <v>5.8</v>
      </c>
      <c r="S28" s="5">
        <v>240809</v>
      </c>
      <c r="T28" s="5">
        <v>240809</v>
      </c>
      <c r="U28" s="5">
        <v>3</v>
      </c>
    </row>
    <row r="29" spans="1:21">
      <c r="A29" s="5" t="str">
        <f>_xlfn.CONCAT("sample_",B29)</f>
        <v>sample_16S-P7-A1-A09-L3_SS0030-KD040-240809-capscan</v>
      </c>
      <c r="B29" s="6" t="s">
        <v>223</v>
      </c>
      <c r="C29" s="7" t="s">
        <v>22</v>
      </c>
      <c r="D29" s="7">
        <v>3</v>
      </c>
      <c r="E29" s="7" t="s">
        <v>224</v>
      </c>
      <c r="F29" s="7" t="s">
        <v>225</v>
      </c>
      <c r="G29" s="7" t="s">
        <v>226</v>
      </c>
      <c r="H29" s="7" t="s">
        <v>227</v>
      </c>
      <c r="I29" s="7" t="s">
        <v>101</v>
      </c>
      <c r="J29" s="5" t="s">
        <v>228</v>
      </c>
      <c r="K29" s="8" t="s">
        <v>29</v>
      </c>
      <c r="L29" s="9" t="s">
        <v>229</v>
      </c>
      <c r="M29" s="5" t="s">
        <v>199</v>
      </c>
      <c r="N29" s="5" t="s">
        <v>32</v>
      </c>
      <c r="O29" s="5" t="s">
        <v>200</v>
      </c>
      <c r="P29" s="5" t="s">
        <v>34</v>
      </c>
      <c r="Q29" s="5" t="s">
        <v>68</v>
      </c>
      <c r="R29" s="5">
        <v>6</v>
      </c>
      <c r="S29" s="5">
        <v>240809</v>
      </c>
      <c r="T29" s="5">
        <v>240809</v>
      </c>
      <c r="U29" s="5">
        <v>3</v>
      </c>
    </row>
    <row r="30" spans="1:21">
      <c r="A30" s="5" t="str">
        <f>_xlfn.CONCAT("sample_",B30)</f>
        <v>sample_16S-P7-A1-A10-L3_SS0031-KD040-240809-capscan</v>
      </c>
      <c r="B30" s="6" t="s">
        <v>230</v>
      </c>
      <c r="C30" s="7" t="s">
        <v>22</v>
      </c>
      <c r="D30" s="7">
        <v>3</v>
      </c>
      <c r="E30" s="7" t="s">
        <v>231</v>
      </c>
      <c r="F30" s="7" t="s">
        <v>232</v>
      </c>
      <c r="G30" s="7" t="s">
        <v>233</v>
      </c>
      <c r="H30" s="7" t="s">
        <v>234</v>
      </c>
      <c r="I30" s="7" t="s">
        <v>101</v>
      </c>
      <c r="J30" s="5" t="s">
        <v>235</v>
      </c>
      <c r="K30" s="8" t="s">
        <v>29</v>
      </c>
      <c r="L30" s="9" t="s">
        <v>236</v>
      </c>
      <c r="M30" s="5" t="s">
        <v>199</v>
      </c>
      <c r="N30" s="5" t="s">
        <v>32</v>
      </c>
      <c r="O30" s="5" t="s">
        <v>200</v>
      </c>
      <c r="P30" s="5" t="s">
        <v>34</v>
      </c>
      <c r="Q30" s="5" t="s">
        <v>76</v>
      </c>
      <c r="R30" s="5">
        <v>6.2</v>
      </c>
      <c r="S30" s="5">
        <v>240809</v>
      </c>
      <c r="T30" s="5">
        <v>240809</v>
      </c>
      <c r="U30" s="5">
        <v>3</v>
      </c>
    </row>
    <row r="31" spans="1:21">
      <c r="A31" s="5" t="str">
        <f>_xlfn.CONCAT("sample_",B31)</f>
        <v>sample_16S-P7-A1-A11-L3_SS0032-KD040-240809-capscan</v>
      </c>
      <c r="B31" s="6" t="s">
        <v>237</v>
      </c>
      <c r="C31" s="7" t="s">
        <v>22</v>
      </c>
      <c r="D31" s="7">
        <v>3</v>
      </c>
      <c r="E31" s="7" t="s">
        <v>238</v>
      </c>
      <c r="F31" s="7" t="s">
        <v>239</v>
      </c>
      <c r="G31" s="7" t="s">
        <v>240</v>
      </c>
      <c r="H31" s="7" t="s">
        <v>241</v>
      </c>
      <c r="I31" s="7" t="s">
        <v>101</v>
      </c>
      <c r="J31" s="5" t="s">
        <v>242</v>
      </c>
      <c r="K31" s="8" t="s">
        <v>29</v>
      </c>
      <c r="L31" s="9" t="s">
        <v>243</v>
      </c>
      <c r="M31" s="5" t="s">
        <v>199</v>
      </c>
      <c r="N31" s="5" t="s">
        <v>32</v>
      </c>
      <c r="O31" s="5" t="s">
        <v>200</v>
      </c>
      <c r="P31" s="5" t="s">
        <v>34</v>
      </c>
      <c r="Q31" s="5" t="s">
        <v>84</v>
      </c>
      <c r="R31" s="5">
        <v>6.4</v>
      </c>
      <c r="S31" s="5">
        <v>240809</v>
      </c>
      <c r="T31" s="5">
        <v>240809</v>
      </c>
      <c r="U31" s="5">
        <v>3</v>
      </c>
    </row>
    <row r="32" spans="1:21">
      <c r="A32" s="5" t="str">
        <f>_xlfn.CONCAT("sample_",B32)</f>
        <v>sample_16S-P7-A1-A12-L3_SS0033-KD040-240809-capscan</v>
      </c>
      <c r="B32" s="6" t="s">
        <v>244</v>
      </c>
      <c r="C32" s="7" t="s">
        <v>22</v>
      </c>
      <c r="D32" s="7">
        <v>3</v>
      </c>
      <c r="E32" s="7" t="s">
        <v>245</v>
      </c>
      <c r="F32" s="7" t="s">
        <v>246</v>
      </c>
      <c r="G32" s="7" t="s">
        <v>247</v>
      </c>
      <c r="H32" s="7" t="s">
        <v>248</v>
      </c>
      <c r="I32" s="7" t="s">
        <v>101</v>
      </c>
      <c r="J32" s="5" t="s">
        <v>249</v>
      </c>
      <c r="K32" s="8" t="s">
        <v>29</v>
      </c>
      <c r="L32" s="9" t="s">
        <v>250</v>
      </c>
      <c r="M32" s="5" t="s">
        <v>199</v>
      </c>
      <c r="N32" s="5" t="s">
        <v>32</v>
      </c>
      <c r="O32" s="5" t="s">
        <v>200</v>
      </c>
      <c r="P32" s="5" t="s">
        <v>34</v>
      </c>
      <c r="Q32" s="5" t="s">
        <v>251</v>
      </c>
      <c r="R32" s="5">
        <v>6.4</v>
      </c>
      <c r="S32" s="5">
        <v>240809</v>
      </c>
      <c r="T32" s="5">
        <v>240809</v>
      </c>
      <c r="U32" s="5">
        <v>2</v>
      </c>
    </row>
    <row r="33" spans="1:21">
      <c r="A33" s="5" t="str">
        <f>_xlfn.CONCAT("sample_",B33)</f>
        <v>sample_16S-P7-A1-D04-L5_SS0034-KD040-240809-stool</v>
      </c>
      <c r="B33" s="6" t="s">
        <v>252</v>
      </c>
      <c r="C33" s="7" t="s">
        <v>22</v>
      </c>
      <c r="D33" s="7">
        <v>5</v>
      </c>
      <c r="E33" s="7" t="s">
        <v>253</v>
      </c>
      <c r="F33" s="7" t="s">
        <v>254</v>
      </c>
      <c r="G33" s="7" t="s">
        <v>255</v>
      </c>
      <c r="H33" s="7" t="s">
        <v>256</v>
      </c>
      <c r="I33" s="5" t="s">
        <v>91</v>
      </c>
      <c r="J33" s="5" t="s">
        <v>257</v>
      </c>
      <c r="K33" s="8" t="s">
        <v>29</v>
      </c>
      <c r="L33" s="9" t="s">
        <v>258</v>
      </c>
      <c r="M33" s="5" t="s">
        <v>94</v>
      </c>
      <c r="N33" s="5" t="s">
        <v>94</v>
      </c>
      <c r="O33" s="5" t="s">
        <v>200</v>
      </c>
      <c r="P33" s="5" t="s">
        <v>95</v>
      </c>
      <c r="Q33" s="5" t="s">
        <v>95</v>
      </c>
      <c r="R33" s="5" t="s">
        <v>85</v>
      </c>
      <c r="S33" s="5">
        <v>240809</v>
      </c>
      <c r="T33" s="5">
        <v>240809</v>
      </c>
      <c r="U33" s="5" t="s">
        <v>94</v>
      </c>
    </row>
    <row r="34" spans="1:21">
      <c r="A34" s="5" t="str">
        <f>_xlfn.CONCAT("sample_",B34)</f>
        <v>sample_16S-P7-A1-H11-L3_SS0035-KD040-240809-saliva</v>
      </c>
      <c r="B34" s="6" t="s">
        <v>259</v>
      </c>
      <c r="C34" s="7" t="s">
        <v>22</v>
      </c>
      <c r="D34" s="7">
        <v>3</v>
      </c>
      <c r="E34" s="7" t="s">
        <v>142</v>
      </c>
      <c r="F34" s="7" t="s">
        <v>143</v>
      </c>
      <c r="G34" s="7" t="s">
        <v>144</v>
      </c>
      <c r="H34" s="7" t="s">
        <v>145</v>
      </c>
      <c r="I34" s="7" t="s">
        <v>101</v>
      </c>
      <c r="J34" s="5" t="s">
        <v>146</v>
      </c>
      <c r="K34" s="8" t="s">
        <v>29</v>
      </c>
      <c r="L34" s="9" t="s">
        <v>260</v>
      </c>
      <c r="M34" s="5" t="s">
        <v>94</v>
      </c>
      <c r="N34" s="5" t="s">
        <v>94</v>
      </c>
      <c r="O34" s="5" t="s">
        <v>200</v>
      </c>
      <c r="P34" s="5" t="s">
        <v>104</v>
      </c>
      <c r="Q34" s="5" t="s">
        <v>104</v>
      </c>
      <c r="R34" s="5" t="s">
        <v>85</v>
      </c>
      <c r="S34" s="5">
        <v>240809</v>
      </c>
      <c r="T34" s="5">
        <v>240809</v>
      </c>
      <c r="U34" s="5" t="s">
        <v>94</v>
      </c>
    </row>
  </sheetData>
  <conditionalFormatting sqref="I1:I3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Fu</dc:creator>
  <cp:lastModifiedBy>Beverly Fu</cp:lastModifiedBy>
  <dcterms:created xsi:type="dcterms:W3CDTF">2026-04-02T22:11:28Z</dcterms:created>
  <dcterms:modified xsi:type="dcterms:W3CDTF">2026-04-02T22:11:39Z</dcterms:modified>
</cp:coreProperties>
</file>